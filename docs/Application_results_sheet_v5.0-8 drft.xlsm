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autoCompressPictures="0" defaultThemeVersion="124226"/>
  <bookViews>
    <workbookView xWindow="0" yWindow="0" windowWidth="11232" windowHeight="7596" tabRatio="506" firstSheet="1" activeTab="2"/>
  </bookViews>
  <sheets>
    <sheet name="Lists" sheetId="9" state="hidden" r:id="rId1"/>
    <sheet name="Instructions" sheetId="18" r:id="rId2"/>
    <sheet name="Results" sheetId="15" r:id="rId3"/>
    <sheet name="Report" sheetId="12" r:id="rId4"/>
    <sheet name="508 Impact Guide &amp; Score Sheet" sheetId="17" r:id="rId5"/>
  </sheets>
  <functionGroups builtInGroupCount="17"/>
  <externalReferences>
    <externalReference r:id="rId6"/>
  </externalReferences>
  <definedNames>
    <definedName name="colBLs">5</definedName>
    <definedName name="colDetails">9</definedName>
    <definedName name="colFailCond">3</definedName>
    <definedName name="colResults">6</definedName>
    <definedName name="colScreens">10</definedName>
    <definedName name="colStds">4</definedName>
    <definedName name="colSteps">1</definedName>
    <definedName name="firstreportrow">Report!$A$28:$F$28</definedName>
    <definedName name="header">'508 Impact Guide &amp; Score Sheet'!$A$4</definedName>
    <definedName name="JavaFlashResponses">Lists!$K$13:$K$17</definedName>
    <definedName name="List">#REF!</definedName>
    <definedName name="NoJavaFlashResponses">Lists!$K$20</definedName>
    <definedName name="NoResponses">Lists!$K$20</definedName>
    <definedName name="OLE_LINK32" localSheetId="2">Results!$C$27</definedName>
    <definedName name="OLE_LINK39" localSheetId="2">Results!$C$31</definedName>
    <definedName name="_xlnm.Print_Area" localSheetId="3">Report!$A$1:$X$55</definedName>
    <definedName name="_xlnm.Print_Area" localSheetId="2">Results!$A$1:$BU$74</definedName>
    <definedName name="reportheader">Report!$D$27:$E$27</definedName>
    <definedName name="resultsarea">tblResults[]</definedName>
    <definedName name="resultsrow">Results!$K$4:$BY$4</definedName>
    <definedName name="ScreenCells">tblResults[Screenshots]</definedName>
    <definedName name="Screens">tblResults[Screenshots]</definedName>
    <definedName name="StdsBLs">Results!$K$5:$BU$5</definedName>
    <definedName name="TT_Version">Lists!$I$13:$I$15</definedName>
    <definedName name="TT_Versions">Lists!$I$13:$I$15</definedName>
    <definedName name="TT3_Browsers">Lists!$C$20:$C$24</definedName>
    <definedName name="TT3_OS">Lists!$A$20:$A$22</definedName>
    <definedName name="TT4_Browsers">Lists!$C$13:$C$17</definedName>
    <definedName name="TT4_OS">Lists!$A$13:$A$16</definedName>
  </definedNames>
  <calcPr calcId="162913"/>
</workbook>
</file>

<file path=xl/calcChain.xml><?xml version="1.0" encoding="utf-8"?>
<calcChain xmlns="http://schemas.openxmlformats.org/spreadsheetml/2006/main">
  <c r="DO30" i="15" l="1"/>
  <c r="DN30" i="15"/>
  <c r="DM30" i="15"/>
  <c r="DL30" i="15"/>
  <c r="DK30" i="15"/>
  <c r="DJ30" i="15"/>
  <c r="DI30" i="15"/>
  <c r="DH30" i="15"/>
  <c r="DG30" i="15"/>
  <c r="DF30" i="15"/>
  <c r="DE30" i="15"/>
  <c r="DD30" i="15"/>
  <c r="DC30" i="15"/>
  <c r="DB30" i="15"/>
  <c r="DA30" i="15"/>
  <c r="CZ30" i="15"/>
  <c r="CY30" i="15"/>
  <c r="CX30" i="15"/>
  <c r="CW30" i="15"/>
  <c r="CV30" i="15"/>
  <c r="CU30" i="15"/>
  <c r="CT30" i="15"/>
  <c r="CS30" i="15"/>
  <c r="CR30" i="15"/>
  <c r="CQ30" i="15"/>
  <c r="CP30" i="15"/>
  <c r="CO30" i="15"/>
  <c r="CN30" i="15"/>
  <c r="CM30" i="15"/>
  <c r="CL30" i="15"/>
  <c r="CK30" i="15"/>
  <c r="CJ30" i="15"/>
  <c r="CI30" i="15"/>
  <c r="CH30" i="15"/>
  <c r="CG30" i="15"/>
  <c r="CF30" i="15"/>
  <c r="CE30" i="15"/>
  <c r="CD30" i="15"/>
  <c r="CC30" i="15"/>
  <c r="CB30" i="15"/>
  <c r="CA30" i="15"/>
  <c r="BZ30" i="15"/>
  <c r="BY30" i="15"/>
  <c r="BX30" i="15"/>
  <c r="BW30" i="15"/>
  <c r="BV30" i="15"/>
  <c r="BU30" i="15"/>
  <c r="BT30" i="15"/>
  <c r="BS30" i="15"/>
  <c r="BR30" i="15"/>
  <c r="BQ30" i="15"/>
  <c r="BP30" i="15"/>
  <c r="BO30" i="15"/>
  <c r="BN30" i="15"/>
  <c r="BM30" i="15"/>
  <c r="BL30" i="15"/>
  <c r="BK30" i="15"/>
  <c r="BJ30" i="15"/>
  <c r="BI30" i="15"/>
  <c r="BH30" i="15"/>
  <c r="BG30" i="15"/>
  <c r="BF30" i="15"/>
  <c r="BE30" i="15"/>
  <c r="BD30" i="15"/>
  <c r="BC30" i="15"/>
  <c r="BB30" i="15"/>
  <c r="BA30" i="15"/>
  <c r="AZ30" i="15"/>
  <c r="AY30" i="15"/>
  <c r="AX30" i="15"/>
  <c r="AW30" i="15"/>
  <c r="AV30" i="15"/>
  <c r="AU30" i="15"/>
  <c r="AT30" i="15"/>
  <c r="AS30" i="15"/>
  <c r="AR30" i="15"/>
  <c r="AQ30" i="15"/>
  <c r="AP30" i="15"/>
  <c r="AO30" i="15"/>
  <c r="AN30" i="15"/>
  <c r="AM30" i="15"/>
  <c r="AL30" i="15"/>
  <c r="AK30" i="15"/>
  <c r="AJ30" i="15"/>
  <c r="AI30" i="15"/>
  <c r="AH30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DO71" i="15" l="1"/>
  <c r="DN71" i="15"/>
  <c r="DM71" i="15"/>
  <c r="DL71" i="15"/>
  <c r="DK71" i="15"/>
  <c r="DJ71" i="15"/>
  <c r="DI71" i="15"/>
  <c r="DH71" i="15"/>
  <c r="DG71" i="15"/>
  <c r="DF71" i="15"/>
  <c r="DE71" i="15"/>
  <c r="DD71" i="15"/>
  <c r="DC71" i="15"/>
  <c r="DB71" i="15"/>
  <c r="DA71" i="15"/>
  <c r="CZ71" i="15"/>
  <c r="CY71" i="15"/>
  <c r="CX71" i="15"/>
  <c r="CW71" i="15"/>
  <c r="CV71" i="15"/>
  <c r="CU71" i="15"/>
  <c r="CT71" i="15"/>
  <c r="CS71" i="15"/>
  <c r="CR71" i="15"/>
  <c r="CQ71" i="15"/>
  <c r="CP71" i="15"/>
  <c r="CO71" i="15"/>
  <c r="CN71" i="15"/>
  <c r="CM71" i="15"/>
  <c r="CL71" i="15"/>
  <c r="CK71" i="15"/>
  <c r="CJ71" i="15"/>
  <c r="CI71" i="15"/>
  <c r="CH71" i="15"/>
  <c r="CG71" i="15"/>
  <c r="CF71" i="15"/>
  <c r="CE71" i="15"/>
  <c r="CD71" i="15"/>
  <c r="CC71" i="15"/>
  <c r="CB71" i="15"/>
  <c r="CA71" i="15"/>
  <c r="BZ71" i="15"/>
  <c r="BY71" i="15"/>
  <c r="BX71" i="15"/>
  <c r="BW71" i="15"/>
  <c r="BV71" i="15"/>
  <c r="BU71" i="15"/>
  <c r="BT71" i="15"/>
  <c r="BS71" i="15"/>
  <c r="BR71" i="15"/>
  <c r="BQ71" i="15"/>
  <c r="BP71" i="15"/>
  <c r="BO71" i="15"/>
  <c r="BN71" i="15"/>
  <c r="BM71" i="15"/>
  <c r="BL71" i="15"/>
  <c r="BK71" i="15"/>
  <c r="BJ71" i="15"/>
  <c r="BI71" i="15"/>
  <c r="BH71" i="15"/>
  <c r="BG71" i="15"/>
  <c r="BF71" i="15"/>
  <c r="BE71" i="15"/>
  <c r="BD71" i="15"/>
  <c r="BC71" i="15"/>
  <c r="BB71" i="15"/>
  <c r="BA71" i="15"/>
  <c r="AZ71" i="15"/>
  <c r="AY71" i="15"/>
  <c r="AX71" i="15"/>
  <c r="AW71" i="15"/>
  <c r="AV71" i="15"/>
  <c r="AU71" i="15"/>
  <c r="AT71" i="15"/>
  <c r="AS71" i="15"/>
  <c r="AR71" i="15"/>
  <c r="AQ71" i="15"/>
  <c r="AP71" i="15"/>
  <c r="AO71" i="15"/>
  <c r="AN71" i="15"/>
  <c r="AM71" i="15"/>
  <c r="AL71" i="15"/>
  <c r="AK71" i="15"/>
  <c r="AJ71" i="15"/>
  <c r="AI71" i="15"/>
  <c r="AH71" i="15"/>
  <c r="AG71" i="15"/>
  <c r="AF71" i="15"/>
  <c r="AE71" i="15"/>
  <c r="AD71" i="15"/>
  <c r="AC71" i="15"/>
  <c r="AB71" i="15"/>
  <c r="AA71" i="15"/>
  <c r="Z71" i="15"/>
  <c r="Y71" i="15"/>
  <c r="X71" i="15"/>
  <c r="W71" i="15"/>
  <c r="V71" i="15"/>
  <c r="U71" i="15"/>
  <c r="T71" i="15"/>
  <c r="S71" i="15"/>
  <c r="R71" i="15"/>
  <c r="Q71" i="15"/>
  <c r="P71" i="15"/>
  <c r="O71" i="15"/>
  <c r="N71" i="15"/>
  <c r="M71" i="15"/>
  <c r="L71" i="15"/>
  <c r="K71" i="15"/>
  <c r="DM64" i="15" l="1"/>
  <c r="DM65" i="15"/>
  <c r="DM66" i="15"/>
  <c r="DM67" i="15"/>
  <c r="DM68" i="15"/>
  <c r="DM6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G9" i="15"/>
  <c r="AH9" i="15"/>
  <c r="AI9" i="15"/>
  <c r="AJ9" i="15"/>
  <c r="AK9" i="15"/>
  <c r="AL9" i="15"/>
  <c r="AM9" i="15"/>
  <c r="AN9" i="15"/>
  <c r="AO9" i="15"/>
  <c r="AP9" i="15"/>
  <c r="AQ9" i="15"/>
  <c r="AR9" i="15"/>
  <c r="AS9" i="15"/>
  <c r="AT9" i="15"/>
  <c r="AU9" i="15"/>
  <c r="AV9" i="15"/>
  <c r="AW9" i="15"/>
  <c r="AX9" i="15"/>
  <c r="AY9" i="15"/>
  <c r="AZ9" i="15"/>
  <c r="BA9" i="15"/>
  <c r="BB9" i="15"/>
  <c r="BC9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CM9" i="15"/>
  <c r="CN9" i="15"/>
  <c r="CO9" i="15"/>
  <c r="CP9" i="15"/>
  <c r="CQ9" i="15"/>
  <c r="CR9" i="15"/>
  <c r="CS9" i="15"/>
  <c r="CT9" i="15"/>
  <c r="CU9" i="15"/>
  <c r="CV9" i="15"/>
  <c r="CW9" i="15"/>
  <c r="CX9" i="15"/>
  <c r="CY9" i="15"/>
  <c r="CZ9" i="15"/>
  <c r="DA9" i="15"/>
  <c r="DB9" i="15"/>
  <c r="DC9" i="15"/>
  <c r="DD9" i="15"/>
  <c r="DE9" i="15"/>
  <c r="DF9" i="15"/>
  <c r="DG9" i="15"/>
  <c r="DH9" i="15"/>
  <c r="DI9" i="15"/>
  <c r="DJ9" i="15"/>
  <c r="DK9" i="15"/>
  <c r="DL9" i="15"/>
  <c r="DM9" i="15"/>
  <c r="DN9" i="15"/>
  <c r="DO9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AG11" i="15"/>
  <c r="AH11" i="15"/>
  <c r="AI11" i="15"/>
  <c r="AJ11" i="15"/>
  <c r="AK11" i="15"/>
  <c r="AL11" i="15"/>
  <c r="AM11" i="15"/>
  <c r="AN11" i="15"/>
  <c r="AO11" i="15"/>
  <c r="AP11" i="15"/>
  <c r="AQ11" i="15"/>
  <c r="AR11" i="15"/>
  <c r="AS11" i="15"/>
  <c r="AT11" i="15"/>
  <c r="AU11" i="15"/>
  <c r="AV11" i="15"/>
  <c r="AW11" i="15"/>
  <c r="AX11" i="15"/>
  <c r="AY11" i="15"/>
  <c r="AZ11" i="15"/>
  <c r="BA11" i="15"/>
  <c r="BB11" i="15"/>
  <c r="BC11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CM11" i="15"/>
  <c r="CN11" i="15"/>
  <c r="CO11" i="15"/>
  <c r="CP11" i="15"/>
  <c r="CQ11" i="15"/>
  <c r="CR11" i="15"/>
  <c r="CS11" i="15"/>
  <c r="CT11" i="15"/>
  <c r="CU11" i="15"/>
  <c r="CV11" i="15"/>
  <c r="CW11" i="15"/>
  <c r="CX11" i="15"/>
  <c r="CY11" i="15"/>
  <c r="CZ11" i="15"/>
  <c r="DA11" i="15"/>
  <c r="DB11" i="15"/>
  <c r="DC11" i="15"/>
  <c r="DD11" i="15"/>
  <c r="DE11" i="15"/>
  <c r="DF11" i="15"/>
  <c r="DG11" i="15"/>
  <c r="DH11" i="15"/>
  <c r="DI11" i="15"/>
  <c r="DJ11" i="15"/>
  <c r="DK11" i="15"/>
  <c r="DL11" i="15"/>
  <c r="DM11" i="15"/>
  <c r="DN11" i="15"/>
  <c r="DO11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AI12" i="15"/>
  <c r="AJ12" i="15"/>
  <c r="AK12" i="15"/>
  <c r="AL12" i="15"/>
  <c r="AM12" i="15"/>
  <c r="AN12" i="15"/>
  <c r="AO12" i="15"/>
  <c r="AP12" i="15"/>
  <c r="AQ12" i="15"/>
  <c r="AR12" i="15"/>
  <c r="AS12" i="15"/>
  <c r="AT12" i="15"/>
  <c r="AU12" i="15"/>
  <c r="AV12" i="15"/>
  <c r="AW12" i="15"/>
  <c r="AX12" i="15"/>
  <c r="AY12" i="15"/>
  <c r="AZ12" i="15"/>
  <c r="BA12" i="15"/>
  <c r="BB12" i="15"/>
  <c r="BC12" i="15"/>
  <c r="BD12" i="15"/>
  <c r="BE12" i="15"/>
  <c r="BF12" i="15"/>
  <c r="BG12" i="15"/>
  <c r="BH12" i="15"/>
  <c r="BI12" i="15"/>
  <c r="BJ12" i="15"/>
  <c r="BK12" i="15"/>
  <c r="BL12" i="15"/>
  <c r="BM12" i="15"/>
  <c r="BN12" i="15"/>
  <c r="BO12" i="15"/>
  <c r="BP12" i="15"/>
  <c r="BQ12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CM12" i="15"/>
  <c r="CN12" i="15"/>
  <c r="CO12" i="15"/>
  <c r="CP12" i="15"/>
  <c r="CQ12" i="15"/>
  <c r="CR12" i="15"/>
  <c r="CS12" i="15"/>
  <c r="CT12" i="15"/>
  <c r="CU12" i="15"/>
  <c r="CV12" i="15"/>
  <c r="CW12" i="15"/>
  <c r="CX12" i="15"/>
  <c r="CY12" i="15"/>
  <c r="CZ12" i="15"/>
  <c r="DA12" i="15"/>
  <c r="DB12" i="15"/>
  <c r="DC12" i="15"/>
  <c r="DD12" i="15"/>
  <c r="DE12" i="15"/>
  <c r="DF12" i="15"/>
  <c r="DG12" i="15"/>
  <c r="DH12" i="15"/>
  <c r="DI12" i="15"/>
  <c r="DJ12" i="15"/>
  <c r="DK12" i="15"/>
  <c r="DL12" i="15"/>
  <c r="DM12" i="15"/>
  <c r="DN12" i="15"/>
  <c r="DO12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AI13" i="15"/>
  <c r="AJ13" i="15"/>
  <c r="AK13" i="15"/>
  <c r="AL13" i="15"/>
  <c r="AM13" i="15"/>
  <c r="AN13" i="15"/>
  <c r="AO13" i="15"/>
  <c r="AP13" i="15"/>
  <c r="AQ13" i="15"/>
  <c r="AR13" i="15"/>
  <c r="AS13" i="15"/>
  <c r="AT13" i="15"/>
  <c r="AU13" i="15"/>
  <c r="AV13" i="15"/>
  <c r="AW13" i="15"/>
  <c r="AX13" i="15"/>
  <c r="AY13" i="15"/>
  <c r="AZ13" i="15"/>
  <c r="BA13" i="15"/>
  <c r="BB13" i="15"/>
  <c r="BC13" i="15"/>
  <c r="BD13" i="15"/>
  <c r="BE13" i="15"/>
  <c r="BF13" i="15"/>
  <c r="BG13" i="15"/>
  <c r="BH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CM13" i="15"/>
  <c r="CN13" i="15"/>
  <c r="CO13" i="15"/>
  <c r="CP13" i="15"/>
  <c r="CQ13" i="15"/>
  <c r="CR13" i="15"/>
  <c r="CS13" i="15"/>
  <c r="CT13" i="15"/>
  <c r="CU13" i="15"/>
  <c r="CV13" i="15"/>
  <c r="CW13" i="15"/>
  <c r="CX13" i="15"/>
  <c r="CY13" i="15"/>
  <c r="CZ13" i="15"/>
  <c r="DA13" i="15"/>
  <c r="DB13" i="15"/>
  <c r="DC13" i="15"/>
  <c r="DD13" i="15"/>
  <c r="DE13" i="15"/>
  <c r="DF13" i="15"/>
  <c r="DG13" i="15"/>
  <c r="DH13" i="15"/>
  <c r="DI13" i="15"/>
  <c r="DJ13" i="15"/>
  <c r="DK13" i="15"/>
  <c r="DL13" i="15"/>
  <c r="DM13" i="15"/>
  <c r="DN13" i="15"/>
  <c r="DO13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AI14" i="15"/>
  <c r="AJ14" i="15"/>
  <c r="AK14" i="15"/>
  <c r="AL14" i="15"/>
  <c r="AM14" i="15"/>
  <c r="AN14" i="15"/>
  <c r="AO14" i="15"/>
  <c r="AP14" i="15"/>
  <c r="AQ14" i="15"/>
  <c r="AR14" i="15"/>
  <c r="AS14" i="15"/>
  <c r="AT14" i="15"/>
  <c r="AU14" i="15"/>
  <c r="AV14" i="15"/>
  <c r="AW14" i="15"/>
  <c r="AX14" i="15"/>
  <c r="AY14" i="15"/>
  <c r="AZ14" i="15"/>
  <c r="BA14" i="15"/>
  <c r="BB14" i="15"/>
  <c r="BC14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CM14" i="15"/>
  <c r="CN14" i="15"/>
  <c r="CO14" i="15"/>
  <c r="CP14" i="15"/>
  <c r="CQ14" i="15"/>
  <c r="CR14" i="15"/>
  <c r="CS14" i="15"/>
  <c r="CT14" i="15"/>
  <c r="CU14" i="15"/>
  <c r="CV14" i="15"/>
  <c r="CW14" i="15"/>
  <c r="CX14" i="15"/>
  <c r="CY14" i="15"/>
  <c r="CZ14" i="15"/>
  <c r="DA14" i="15"/>
  <c r="DB14" i="15"/>
  <c r="DC14" i="15"/>
  <c r="DD14" i="15"/>
  <c r="DE14" i="15"/>
  <c r="DF14" i="15"/>
  <c r="DG14" i="15"/>
  <c r="DH14" i="15"/>
  <c r="DI14" i="15"/>
  <c r="DJ14" i="15"/>
  <c r="DK14" i="15"/>
  <c r="DL14" i="15"/>
  <c r="DM14" i="15"/>
  <c r="DN14" i="15"/>
  <c r="DO14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AI15" i="15"/>
  <c r="AJ15" i="15"/>
  <c r="AK15" i="15"/>
  <c r="AL15" i="15"/>
  <c r="AM15" i="15"/>
  <c r="AN15" i="15"/>
  <c r="AO15" i="15"/>
  <c r="AP15" i="15"/>
  <c r="AQ15" i="15"/>
  <c r="AR15" i="15"/>
  <c r="AS15" i="15"/>
  <c r="AT15" i="15"/>
  <c r="AU15" i="15"/>
  <c r="AV15" i="15"/>
  <c r="AW15" i="15"/>
  <c r="AX15" i="15"/>
  <c r="AY15" i="15"/>
  <c r="AZ15" i="15"/>
  <c r="BA15" i="15"/>
  <c r="BB15" i="15"/>
  <c r="BC15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CM15" i="15"/>
  <c r="CN15" i="15"/>
  <c r="CO15" i="15"/>
  <c r="CP15" i="15"/>
  <c r="CQ15" i="15"/>
  <c r="CR15" i="15"/>
  <c r="CS15" i="15"/>
  <c r="CT15" i="15"/>
  <c r="CU15" i="15"/>
  <c r="CV15" i="15"/>
  <c r="CW15" i="15"/>
  <c r="CX15" i="15"/>
  <c r="CY15" i="15"/>
  <c r="CZ15" i="15"/>
  <c r="DA15" i="15"/>
  <c r="DB15" i="15"/>
  <c r="DC15" i="15"/>
  <c r="DD15" i="15"/>
  <c r="DE15" i="15"/>
  <c r="DF15" i="15"/>
  <c r="DG15" i="15"/>
  <c r="DH15" i="15"/>
  <c r="DI15" i="15"/>
  <c r="DJ15" i="15"/>
  <c r="DK15" i="15"/>
  <c r="DL15" i="15"/>
  <c r="DM15" i="15"/>
  <c r="DN15" i="15"/>
  <c r="DO15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AG16" i="15"/>
  <c r="AH16" i="15"/>
  <c r="AI16" i="15"/>
  <c r="AJ16" i="15"/>
  <c r="AK16" i="15"/>
  <c r="AL16" i="15"/>
  <c r="AM16" i="15"/>
  <c r="AN16" i="15"/>
  <c r="AO16" i="15"/>
  <c r="AP16" i="15"/>
  <c r="AQ16" i="15"/>
  <c r="AR16" i="15"/>
  <c r="AS16" i="15"/>
  <c r="AT16" i="15"/>
  <c r="AU16" i="15"/>
  <c r="AV16" i="15"/>
  <c r="AW16" i="15"/>
  <c r="AX16" i="15"/>
  <c r="AY16" i="15"/>
  <c r="AZ16" i="15"/>
  <c r="BA16" i="15"/>
  <c r="BB16" i="15"/>
  <c r="BC16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CM16" i="15"/>
  <c r="CN16" i="15"/>
  <c r="CO16" i="15"/>
  <c r="CP16" i="15"/>
  <c r="CQ16" i="15"/>
  <c r="CR16" i="15"/>
  <c r="CS16" i="15"/>
  <c r="CT16" i="15"/>
  <c r="CU16" i="15"/>
  <c r="CV16" i="15"/>
  <c r="CW16" i="15"/>
  <c r="CX16" i="15"/>
  <c r="CY16" i="15"/>
  <c r="CZ16" i="15"/>
  <c r="DA16" i="15"/>
  <c r="DB16" i="15"/>
  <c r="DC16" i="15"/>
  <c r="DD16" i="15"/>
  <c r="DE16" i="15"/>
  <c r="DF16" i="15"/>
  <c r="DG16" i="15"/>
  <c r="DH16" i="15"/>
  <c r="DI16" i="15"/>
  <c r="DJ16" i="15"/>
  <c r="DK16" i="15"/>
  <c r="DL16" i="15"/>
  <c r="DM16" i="15"/>
  <c r="DN16" i="15"/>
  <c r="DO16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AF17" i="15"/>
  <c r="AG17" i="15"/>
  <c r="AH17" i="15"/>
  <c r="AI17" i="15"/>
  <c r="AJ17" i="15"/>
  <c r="AK17" i="15"/>
  <c r="AL17" i="15"/>
  <c r="AM17" i="15"/>
  <c r="AN17" i="15"/>
  <c r="AO17" i="15"/>
  <c r="AP17" i="15"/>
  <c r="AQ17" i="15"/>
  <c r="AR17" i="15"/>
  <c r="AS17" i="15"/>
  <c r="AT17" i="15"/>
  <c r="AU17" i="15"/>
  <c r="AV17" i="15"/>
  <c r="AW17" i="15"/>
  <c r="AX17" i="15"/>
  <c r="AY17" i="15"/>
  <c r="AZ17" i="15"/>
  <c r="BA17" i="15"/>
  <c r="BB17" i="15"/>
  <c r="BC17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CM17" i="15"/>
  <c r="CN17" i="15"/>
  <c r="CO17" i="15"/>
  <c r="CP17" i="15"/>
  <c r="CQ17" i="15"/>
  <c r="CR17" i="15"/>
  <c r="CS17" i="15"/>
  <c r="CT17" i="15"/>
  <c r="CU17" i="15"/>
  <c r="CV17" i="15"/>
  <c r="CW17" i="15"/>
  <c r="CX17" i="15"/>
  <c r="CY17" i="15"/>
  <c r="CZ17" i="15"/>
  <c r="DA17" i="15"/>
  <c r="DB17" i="15"/>
  <c r="DC17" i="15"/>
  <c r="DD17" i="15"/>
  <c r="DE17" i="15"/>
  <c r="DF17" i="15"/>
  <c r="DG17" i="15"/>
  <c r="DH17" i="15"/>
  <c r="DI17" i="15"/>
  <c r="DJ17" i="15"/>
  <c r="DK17" i="15"/>
  <c r="DL17" i="15"/>
  <c r="DM17" i="15"/>
  <c r="DN17" i="15"/>
  <c r="DO17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AI18" i="15"/>
  <c r="AJ18" i="15"/>
  <c r="AK18" i="15"/>
  <c r="AL18" i="15"/>
  <c r="AM18" i="15"/>
  <c r="AN18" i="15"/>
  <c r="AO18" i="15"/>
  <c r="AP18" i="15"/>
  <c r="AQ18" i="15"/>
  <c r="AR18" i="15"/>
  <c r="AS18" i="15"/>
  <c r="AT18" i="15"/>
  <c r="AU18" i="15"/>
  <c r="AV18" i="15"/>
  <c r="AW18" i="15"/>
  <c r="AX18" i="15"/>
  <c r="AY18" i="15"/>
  <c r="AZ18" i="15"/>
  <c r="BA18" i="15"/>
  <c r="BB18" i="15"/>
  <c r="BC18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CM18" i="15"/>
  <c r="CN18" i="15"/>
  <c r="CO18" i="15"/>
  <c r="CP18" i="15"/>
  <c r="CQ18" i="15"/>
  <c r="CR18" i="15"/>
  <c r="CS18" i="15"/>
  <c r="CT18" i="15"/>
  <c r="CU18" i="15"/>
  <c r="CV18" i="15"/>
  <c r="CW18" i="15"/>
  <c r="CX18" i="15"/>
  <c r="CY18" i="15"/>
  <c r="CZ18" i="15"/>
  <c r="DA18" i="15"/>
  <c r="DB18" i="15"/>
  <c r="DC18" i="15"/>
  <c r="DD18" i="15"/>
  <c r="DE18" i="15"/>
  <c r="DF18" i="15"/>
  <c r="DG18" i="15"/>
  <c r="DH18" i="15"/>
  <c r="DI18" i="15"/>
  <c r="DJ18" i="15"/>
  <c r="DK18" i="15"/>
  <c r="DL18" i="15"/>
  <c r="DM18" i="15"/>
  <c r="DN18" i="15"/>
  <c r="DO18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W19" i="15"/>
  <c r="AX19" i="15"/>
  <c r="AY19" i="15"/>
  <c r="AZ19" i="15"/>
  <c r="BA19" i="15"/>
  <c r="BB19" i="15"/>
  <c r="BC19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CM19" i="15"/>
  <c r="CN19" i="15"/>
  <c r="CO19" i="15"/>
  <c r="CP19" i="15"/>
  <c r="CQ19" i="15"/>
  <c r="CR19" i="15"/>
  <c r="CS19" i="15"/>
  <c r="CT19" i="15"/>
  <c r="CU19" i="15"/>
  <c r="CV19" i="15"/>
  <c r="CW19" i="15"/>
  <c r="CX19" i="15"/>
  <c r="CY19" i="15"/>
  <c r="CZ19" i="15"/>
  <c r="DA19" i="15"/>
  <c r="DB19" i="15"/>
  <c r="DC19" i="15"/>
  <c r="DD19" i="15"/>
  <c r="DE19" i="15"/>
  <c r="DF19" i="15"/>
  <c r="DG19" i="15"/>
  <c r="DH19" i="15"/>
  <c r="DI19" i="15"/>
  <c r="DJ19" i="15"/>
  <c r="DK19" i="15"/>
  <c r="DL19" i="15"/>
  <c r="DM19" i="15"/>
  <c r="DN19" i="15"/>
  <c r="DO19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H20" i="15"/>
  <c r="AI20" i="15"/>
  <c r="AJ20" i="15"/>
  <c r="AK20" i="15"/>
  <c r="AL20" i="15"/>
  <c r="AM20" i="15"/>
  <c r="AN20" i="15"/>
  <c r="AO20" i="15"/>
  <c r="AP20" i="15"/>
  <c r="AQ20" i="15"/>
  <c r="AR20" i="15"/>
  <c r="AS20" i="15"/>
  <c r="AT20" i="15"/>
  <c r="AU20" i="15"/>
  <c r="AV20" i="15"/>
  <c r="AW20" i="15"/>
  <c r="AX20" i="15"/>
  <c r="AY20" i="15"/>
  <c r="AZ20" i="15"/>
  <c r="BA20" i="15"/>
  <c r="BB20" i="15"/>
  <c r="BC20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CM20" i="15"/>
  <c r="CN20" i="15"/>
  <c r="CO20" i="15"/>
  <c r="CP20" i="15"/>
  <c r="CQ20" i="15"/>
  <c r="CR20" i="15"/>
  <c r="CS20" i="15"/>
  <c r="CT20" i="15"/>
  <c r="CU20" i="15"/>
  <c r="CV20" i="15"/>
  <c r="CW20" i="15"/>
  <c r="CX20" i="15"/>
  <c r="CY20" i="15"/>
  <c r="CZ20" i="15"/>
  <c r="DA20" i="15"/>
  <c r="DB20" i="15"/>
  <c r="DC20" i="15"/>
  <c r="DD20" i="15"/>
  <c r="DE20" i="15"/>
  <c r="DF20" i="15"/>
  <c r="DG20" i="15"/>
  <c r="DH20" i="15"/>
  <c r="DI20" i="15"/>
  <c r="DJ20" i="15"/>
  <c r="DK20" i="15"/>
  <c r="DL20" i="15"/>
  <c r="DM20" i="15"/>
  <c r="DN20" i="15"/>
  <c r="DO20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AG21" i="15"/>
  <c r="AH21" i="15"/>
  <c r="AI21" i="15"/>
  <c r="AJ21" i="15"/>
  <c r="AK21" i="15"/>
  <c r="AL21" i="15"/>
  <c r="AM21" i="15"/>
  <c r="AN21" i="15"/>
  <c r="AO21" i="15"/>
  <c r="AP21" i="15"/>
  <c r="AQ21" i="15"/>
  <c r="AR21" i="15"/>
  <c r="AS21" i="15"/>
  <c r="AT21" i="15"/>
  <c r="AU21" i="15"/>
  <c r="AV21" i="15"/>
  <c r="AW21" i="15"/>
  <c r="AX21" i="15"/>
  <c r="AY21" i="15"/>
  <c r="AZ21" i="15"/>
  <c r="BA21" i="15"/>
  <c r="BB21" i="15"/>
  <c r="BC21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CM21" i="15"/>
  <c r="CN21" i="15"/>
  <c r="CO21" i="15"/>
  <c r="CP21" i="15"/>
  <c r="CQ21" i="15"/>
  <c r="CR21" i="15"/>
  <c r="CS21" i="15"/>
  <c r="CT21" i="15"/>
  <c r="CU21" i="15"/>
  <c r="CV21" i="15"/>
  <c r="CW21" i="15"/>
  <c r="CX21" i="15"/>
  <c r="CY21" i="15"/>
  <c r="CZ21" i="15"/>
  <c r="DA21" i="15"/>
  <c r="DB21" i="15"/>
  <c r="DC21" i="15"/>
  <c r="DD21" i="15"/>
  <c r="DE21" i="15"/>
  <c r="DF21" i="15"/>
  <c r="DG21" i="15"/>
  <c r="DH21" i="15"/>
  <c r="DI21" i="15"/>
  <c r="DJ21" i="15"/>
  <c r="DK21" i="15"/>
  <c r="DL21" i="15"/>
  <c r="DM21" i="15"/>
  <c r="DN21" i="15"/>
  <c r="DO21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AF22" i="15"/>
  <c r="AG22" i="15"/>
  <c r="AH22" i="15"/>
  <c r="AI22" i="15"/>
  <c r="AJ22" i="15"/>
  <c r="AK22" i="15"/>
  <c r="AL22" i="15"/>
  <c r="AM22" i="15"/>
  <c r="AN22" i="15"/>
  <c r="AO22" i="15"/>
  <c r="AP22" i="15"/>
  <c r="AQ22" i="15"/>
  <c r="AR22" i="15"/>
  <c r="AS22" i="15"/>
  <c r="AT22" i="15"/>
  <c r="AU22" i="15"/>
  <c r="AV22" i="15"/>
  <c r="AW22" i="15"/>
  <c r="AX22" i="15"/>
  <c r="AY22" i="15"/>
  <c r="AZ22" i="15"/>
  <c r="BA22" i="15"/>
  <c r="BB22" i="15"/>
  <c r="BC22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CM22" i="15"/>
  <c r="CN22" i="15"/>
  <c r="CO22" i="15"/>
  <c r="CP22" i="15"/>
  <c r="CQ22" i="15"/>
  <c r="CR22" i="15"/>
  <c r="CS22" i="15"/>
  <c r="CT22" i="15"/>
  <c r="CU22" i="15"/>
  <c r="CV22" i="15"/>
  <c r="CW22" i="15"/>
  <c r="CX22" i="15"/>
  <c r="CY22" i="15"/>
  <c r="CZ22" i="15"/>
  <c r="DA22" i="15"/>
  <c r="DB22" i="15"/>
  <c r="DC22" i="15"/>
  <c r="DD22" i="15"/>
  <c r="DE22" i="15"/>
  <c r="DF22" i="15"/>
  <c r="DG22" i="15"/>
  <c r="DH22" i="15"/>
  <c r="DI22" i="15"/>
  <c r="DJ22" i="15"/>
  <c r="DK22" i="15"/>
  <c r="DL22" i="15"/>
  <c r="DM22" i="15"/>
  <c r="DN22" i="15"/>
  <c r="DO22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AF23" i="15"/>
  <c r="AG23" i="15"/>
  <c r="AH23" i="15"/>
  <c r="AI23" i="15"/>
  <c r="AJ23" i="15"/>
  <c r="AK23" i="15"/>
  <c r="AL23" i="15"/>
  <c r="AM23" i="15"/>
  <c r="AN23" i="15"/>
  <c r="AO23" i="15"/>
  <c r="AP23" i="15"/>
  <c r="AQ23" i="15"/>
  <c r="AR23" i="15"/>
  <c r="AS23" i="15"/>
  <c r="AT23" i="15"/>
  <c r="AU23" i="15"/>
  <c r="AV23" i="15"/>
  <c r="AW23" i="15"/>
  <c r="AX23" i="15"/>
  <c r="AY23" i="15"/>
  <c r="AZ23" i="15"/>
  <c r="BA23" i="15"/>
  <c r="BB23" i="15"/>
  <c r="BC23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CM23" i="15"/>
  <c r="CN23" i="15"/>
  <c r="CO23" i="15"/>
  <c r="CP23" i="15"/>
  <c r="CQ23" i="15"/>
  <c r="CR23" i="15"/>
  <c r="CS23" i="15"/>
  <c r="CT23" i="15"/>
  <c r="CU23" i="15"/>
  <c r="CV23" i="15"/>
  <c r="CW23" i="15"/>
  <c r="CX23" i="15"/>
  <c r="CY23" i="15"/>
  <c r="CZ23" i="15"/>
  <c r="DA23" i="15"/>
  <c r="DB23" i="15"/>
  <c r="DC23" i="15"/>
  <c r="DD23" i="15"/>
  <c r="DE23" i="15"/>
  <c r="DF23" i="15"/>
  <c r="DG23" i="15"/>
  <c r="DH23" i="15"/>
  <c r="DI23" i="15"/>
  <c r="DJ23" i="15"/>
  <c r="DK23" i="15"/>
  <c r="DL23" i="15"/>
  <c r="DM23" i="15"/>
  <c r="DN23" i="15"/>
  <c r="DO23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AA24" i="15"/>
  <c r="AB24" i="15"/>
  <c r="AC24" i="15"/>
  <c r="AD24" i="15"/>
  <c r="AE24" i="15"/>
  <c r="AF24" i="15"/>
  <c r="AG24" i="15"/>
  <c r="AH24" i="15"/>
  <c r="AI24" i="15"/>
  <c r="AJ24" i="15"/>
  <c r="AK24" i="15"/>
  <c r="AL24" i="15"/>
  <c r="AM24" i="15"/>
  <c r="AN24" i="15"/>
  <c r="AO24" i="15"/>
  <c r="AP24" i="15"/>
  <c r="AQ24" i="15"/>
  <c r="AR24" i="15"/>
  <c r="AS24" i="15"/>
  <c r="AT24" i="15"/>
  <c r="AU24" i="15"/>
  <c r="AV24" i="15"/>
  <c r="AW24" i="15"/>
  <c r="AX24" i="15"/>
  <c r="AY24" i="15"/>
  <c r="AZ24" i="15"/>
  <c r="BA24" i="15"/>
  <c r="BB24" i="15"/>
  <c r="BC24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CM24" i="15"/>
  <c r="CN24" i="15"/>
  <c r="CO24" i="15"/>
  <c r="CP24" i="15"/>
  <c r="CQ24" i="15"/>
  <c r="CR24" i="15"/>
  <c r="CS24" i="15"/>
  <c r="CT24" i="15"/>
  <c r="CU24" i="15"/>
  <c r="CV24" i="15"/>
  <c r="CW24" i="15"/>
  <c r="CX24" i="15"/>
  <c r="CY24" i="15"/>
  <c r="CZ24" i="15"/>
  <c r="DA24" i="15"/>
  <c r="DB24" i="15"/>
  <c r="DC24" i="15"/>
  <c r="DD24" i="15"/>
  <c r="DE24" i="15"/>
  <c r="DF24" i="15"/>
  <c r="DG24" i="15"/>
  <c r="DH24" i="15"/>
  <c r="DI24" i="15"/>
  <c r="DJ24" i="15"/>
  <c r="DK24" i="15"/>
  <c r="DL24" i="15"/>
  <c r="DM24" i="15"/>
  <c r="DN24" i="15"/>
  <c r="DO24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AI25" i="15"/>
  <c r="AJ25" i="15"/>
  <c r="AK25" i="15"/>
  <c r="AL25" i="15"/>
  <c r="AM25" i="15"/>
  <c r="AN25" i="15"/>
  <c r="AO25" i="15"/>
  <c r="AP25" i="15"/>
  <c r="AQ25" i="15"/>
  <c r="AR25" i="15"/>
  <c r="AS25" i="15"/>
  <c r="AT25" i="15"/>
  <c r="AU25" i="15"/>
  <c r="AV25" i="15"/>
  <c r="AW25" i="15"/>
  <c r="AX25" i="15"/>
  <c r="AY25" i="15"/>
  <c r="AZ25" i="15"/>
  <c r="BA25" i="15"/>
  <c r="BB25" i="15"/>
  <c r="BC25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CM25" i="15"/>
  <c r="CN25" i="15"/>
  <c r="CO25" i="15"/>
  <c r="CP25" i="15"/>
  <c r="CQ25" i="15"/>
  <c r="CR25" i="15"/>
  <c r="CS25" i="15"/>
  <c r="CT25" i="15"/>
  <c r="CU25" i="15"/>
  <c r="CV25" i="15"/>
  <c r="CW25" i="15"/>
  <c r="CX25" i="15"/>
  <c r="CY25" i="15"/>
  <c r="CZ25" i="15"/>
  <c r="DA25" i="15"/>
  <c r="DB25" i="15"/>
  <c r="DC25" i="15"/>
  <c r="DD25" i="15"/>
  <c r="DE25" i="15"/>
  <c r="DF25" i="15"/>
  <c r="DG25" i="15"/>
  <c r="DH25" i="15"/>
  <c r="DI25" i="15"/>
  <c r="DJ25" i="15"/>
  <c r="DK25" i="15"/>
  <c r="DL25" i="15"/>
  <c r="DM25" i="15"/>
  <c r="DN25" i="15"/>
  <c r="DO25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AG26" i="15"/>
  <c r="AH26" i="15"/>
  <c r="AI26" i="15"/>
  <c r="AJ26" i="15"/>
  <c r="AK26" i="15"/>
  <c r="AL26" i="15"/>
  <c r="AM26" i="15"/>
  <c r="AN26" i="15"/>
  <c r="AO26" i="15"/>
  <c r="AP26" i="15"/>
  <c r="AQ26" i="15"/>
  <c r="AR26" i="15"/>
  <c r="AS26" i="15"/>
  <c r="AT26" i="15"/>
  <c r="AU26" i="15"/>
  <c r="AV26" i="15"/>
  <c r="AW26" i="15"/>
  <c r="AX26" i="15"/>
  <c r="AY26" i="15"/>
  <c r="AZ26" i="15"/>
  <c r="BA26" i="15"/>
  <c r="BB26" i="15"/>
  <c r="BC26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CL26" i="15"/>
  <c r="CM26" i="15"/>
  <c r="CN26" i="15"/>
  <c r="CO26" i="15"/>
  <c r="CP26" i="15"/>
  <c r="CQ26" i="15"/>
  <c r="CR26" i="15"/>
  <c r="CS26" i="15"/>
  <c r="CT26" i="15"/>
  <c r="CU26" i="15"/>
  <c r="CV26" i="15"/>
  <c r="CW26" i="15"/>
  <c r="CX26" i="15"/>
  <c r="CY26" i="15"/>
  <c r="CZ26" i="15"/>
  <c r="DA26" i="15"/>
  <c r="DB26" i="15"/>
  <c r="DC26" i="15"/>
  <c r="DD26" i="15"/>
  <c r="DE26" i="15"/>
  <c r="DF26" i="15"/>
  <c r="DG26" i="15"/>
  <c r="DH26" i="15"/>
  <c r="DI26" i="15"/>
  <c r="DJ26" i="15"/>
  <c r="DK26" i="15"/>
  <c r="DL26" i="15"/>
  <c r="DM26" i="15"/>
  <c r="DN26" i="15"/>
  <c r="DO26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AI27" i="15"/>
  <c r="AJ27" i="15"/>
  <c r="AK27" i="15"/>
  <c r="AL27" i="15"/>
  <c r="AM27" i="15"/>
  <c r="AN27" i="15"/>
  <c r="AO27" i="15"/>
  <c r="AP27" i="15"/>
  <c r="AQ27" i="15"/>
  <c r="AR27" i="15"/>
  <c r="AS27" i="15"/>
  <c r="AT27" i="15"/>
  <c r="AU27" i="15"/>
  <c r="AV27" i="15"/>
  <c r="AW27" i="15"/>
  <c r="AX27" i="15"/>
  <c r="AY27" i="15"/>
  <c r="AZ27" i="15"/>
  <c r="BA27" i="15"/>
  <c r="BB27" i="15"/>
  <c r="BC27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CM27" i="15"/>
  <c r="CN27" i="15"/>
  <c r="CO27" i="15"/>
  <c r="CP27" i="15"/>
  <c r="CQ27" i="15"/>
  <c r="CR27" i="15"/>
  <c r="CS27" i="15"/>
  <c r="CT27" i="15"/>
  <c r="CU27" i="15"/>
  <c r="CV27" i="15"/>
  <c r="CW27" i="15"/>
  <c r="CX27" i="15"/>
  <c r="CY27" i="15"/>
  <c r="CZ27" i="15"/>
  <c r="DA27" i="15"/>
  <c r="DB27" i="15"/>
  <c r="DC27" i="15"/>
  <c r="DD27" i="15"/>
  <c r="DE27" i="15"/>
  <c r="DF27" i="15"/>
  <c r="DG27" i="15"/>
  <c r="DH27" i="15"/>
  <c r="DI27" i="15"/>
  <c r="DJ27" i="15"/>
  <c r="DK27" i="15"/>
  <c r="DL27" i="15"/>
  <c r="DM27" i="15"/>
  <c r="DN27" i="15"/>
  <c r="DO27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AI28" i="15"/>
  <c r="AJ28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W28" i="15"/>
  <c r="AX28" i="15"/>
  <c r="AY28" i="15"/>
  <c r="AZ28" i="15"/>
  <c r="BA28" i="15"/>
  <c r="BB28" i="15"/>
  <c r="BC28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CM28" i="15"/>
  <c r="CN28" i="15"/>
  <c r="CO28" i="15"/>
  <c r="CP28" i="15"/>
  <c r="CQ28" i="15"/>
  <c r="CR28" i="15"/>
  <c r="CS28" i="15"/>
  <c r="CT28" i="15"/>
  <c r="CU28" i="15"/>
  <c r="CV28" i="15"/>
  <c r="CW28" i="15"/>
  <c r="CX28" i="15"/>
  <c r="CY28" i="15"/>
  <c r="CZ28" i="15"/>
  <c r="DA28" i="15"/>
  <c r="DB28" i="15"/>
  <c r="DC28" i="15"/>
  <c r="DD28" i="15"/>
  <c r="DE28" i="15"/>
  <c r="DF28" i="15"/>
  <c r="DG28" i="15"/>
  <c r="DH28" i="15"/>
  <c r="DI28" i="15"/>
  <c r="DJ28" i="15"/>
  <c r="DK28" i="15"/>
  <c r="DL28" i="15"/>
  <c r="DM28" i="15"/>
  <c r="DN28" i="15"/>
  <c r="DO28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AI29" i="15"/>
  <c r="AJ29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W29" i="15"/>
  <c r="AX29" i="15"/>
  <c r="AY29" i="15"/>
  <c r="AZ29" i="15"/>
  <c r="BA29" i="15"/>
  <c r="BB29" i="15"/>
  <c r="BC29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CM29" i="15"/>
  <c r="CN29" i="15"/>
  <c r="CO29" i="15"/>
  <c r="CP29" i="15"/>
  <c r="CQ29" i="15"/>
  <c r="CR29" i="15"/>
  <c r="CS29" i="15"/>
  <c r="CT29" i="15"/>
  <c r="CU29" i="15"/>
  <c r="CV29" i="15"/>
  <c r="CW29" i="15"/>
  <c r="CX29" i="15"/>
  <c r="CY29" i="15"/>
  <c r="CZ29" i="15"/>
  <c r="DA29" i="15"/>
  <c r="DB29" i="15"/>
  <c r="DC29" i="15"/>
  <c r="DD29" i="15"/>
  <c r="DE29" i="15"/>
  <c r="DF29" i="15"/>
  <c r="DG29" i="15"/>
  <c r="DH29" i="15"/>
  <c r="DI29" i="15"/>
  <c r="DJ29" i="15"/>
  <c r="DK29" i="15"/>
  <c r="DL29" i="15"/>
  <c r="DM29" i="15"/>
  <c r="DN29" i="15"/>
  <c r="DO29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AI31" i="15"/>
  <c r="AJ31" i="15"/>
  <c r="AK31" i="15"/>
  <c r="AL31" i="15"/>
  <c r="AM31" i="15"/>
  <c r="AN31" i="15"/>
  <c r="AO31" i="15"/>
  <c r="AP31" i="15"/>
  <c r="AQ31" i="15"/>
  <c r="AR31" i="15"/>
  <c r="AS31" i="15"/>
  <c r="AT31" i="15"/>
  <c r="AU31" i="15"/>
  <c r="AV31" i="15"/>
  <c r="AW31" i="15"/>
  <c r="AX31" i="15"/>
  <c r="AY31" i="15"/>
  <c r="AZ31" i="15"/>
  <c r="BA31" i="15"/>
  <c r="BB31" i="15"/>
  <c r="BC31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CM31" i="15"/>
  <c r="CN31" i="15"/>
  <c r="CO31" i="15"/>
  <c r="CP31" i="15"/>
  <c r="CQ31" i="15"/>
  <c r="CR31" i="15"/>
  <c r="CS31" i="15"/>
  <c r="CT31" i="15"/>
  <c r="CU31" i="15"/>
  <c r="CV31" i="15"/>
  <c r="CW31" i="15"/>
  <c r="CX31" i="15"/>
  <c r="CY31" i="15"/>
  <c r="CZ31" i="15"/>
  <c r="DA31" i="15"/>
  <c r="DB31" i="15"/>
  <c r="DC31" i="15"/>
  <c r="DD31" i="15"/>
  <c r="DE31" i="15"/>
  <c r="DF31" i="15"/>
  <c r="DG31" i="15"/>
  <c r="DH31" i="15"/>
  <c r="DI31" i="15"/>
  <c r="DJ31" i="15"/>
  <c r="DK31" i="15"/>
  <c r="DL31" i="15"/>
  <c r="DM31" i="15"/>
  <c r="DN31" i="15"/>
  <c r="DO31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AA32" i="15"/>
  <c r="AB32" i="15"/>
  <c r="AC32" i="15"/>
  <c r="AD32" i="15"/>
  <c r="AE32" i="15"/>
  <c r="AF32" i="15"/>
  <c r="AG32" i="15"/>
  <c r="AH32" i="15"/>
  <c r="AI32" i="15"/>
  <c r="AJ32" i="15"/>
  <c r="AK32" i="15"/>
  <c r="AL32" i="15"/>
  <c r="AM32" i="15"/>
  <c r="AN32" i="15"/>
  <c r="AO32" i="15"/>
  <c r="AP32" i="15"/>
  <c r="AQ32" i="15"/>
  <c r="AR32" i="15"/>
  <c r="AS32" i="15"/>
  <c r="AT32" i="15"/>
  <c r="AU32" i="15"/>
  <c r="AV32" i="15"/>
  <c r="AW32" i="15"/>
  <c r="AX32" i="15"/>
  <c r="AY32" i="15"/>
  <c r="AZ32" i="15"/>
  <c r="BA32" i="15"/>
  <c r="BB32" i="15"/>
  <c r="BC32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CM32" i="15"/>
  <c r="CN32" i="15"/>
  <c r="CO32" i="15"/>
  <c r="CP32" i="15"/>
  <c r="CQ32" i="15"/>
  <c r="CR32" i="15"/>
  <c r="CS32" i="15"/>
  <c r="CT32" i="15"/>
  <c r="CU32" i="15"/>
  <c r="CV32" i="15"/>
  <c r="CW32" i="15"/>
  <c r="CX32" i="15"/>
  <c r="CY32" i="15"/>
  <c r="CZ32" i="15"/>
  <c r="DA32" i="15"/>
  <c r="DB32" i="15"/>
  <c r="DC32" i="15"/>
  <c r="DD32" i="15"/>
  <c r="DE32" i="15"/>
  <c r="DF32" i="15"/>
  <c r="DG32" i="15"/>
  <c r="DH32" i="15"/>
  <c r="DI32" i="15"/>
  <c r="DJ32" i="15"/>
  <c r="DK32" i="15"/>
  <c r="DL32" i="15"/>
  <c r="DM32" i="15"/>
  <c r="DN32" i="15"/>
  <c r="DO32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AI33" i="15"/>
  <c r="AJ33" i="15"/>
  <c r="AK33" i="15"/>
  <c r="AL33" i="15"/>
  <c r="AM33" i="15"/>
  <c r="AN33" i="15"/>
  <c r="AO33" i="15"/>
  <c r="AP33" i="15"/>
  <c r="AQ33" i="15"/>
  <c r="AR33" i="15"/>
  <c r="AS33" i="15"/>
  <c r="AT33" i="15"/>
  <c r="AU33" i="15"/>
  <c r="AV33" i="15"/>
  <c r="AW33" i="15"/>
  <c r="AX33" i="15"/>
  <c r="AY33" i="15"/>
  <c r="AZ33" i="15"/>
  <c r="BA33" i="15"/>
  <c r="BB33" i="15"/>
  <c r="BC33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CM33" i="15"/>
  <c r="CN33" i="15"/>
  <c r="CO33" i="15"/>
  <c r="CP33" i="15"/>
  <c r="CQ33" i="15"/>
  <c r="CR33" i="15"/>
  <c r="CS33" i="15"/>
  <c r="CT33" i="15"/>
  <c r="CU33" i="15"/>
  <c r="CV33" i="15"/>
  <c r="CW33" i="15"/>
  <c r="CX33" i="15"/>
  <c r="CY33" i="15"/>
  <c r="CZ33" i="15"/>
  <c r="DA33" i="15"/>
  <c r="DB33" i="15"/>
  <c r="DC33" i="15"/>
  <c r="DD33" i="15"/>
  <c r="DE33" i="15"/>
  <c r="DF33" i="15"/>
  <c r="DG33" i="15"/>
  <c r="DH33" i="15"/>
  <c r="DI33" i="15"/>
  <c r="DJ33" i="15"/>
  <c r="DK33" i="15"/>
  <c r="DL33" i="15"/>
  <c r="DM33" i="15"/>
  <c r="DN33" i="15"/>
  <c r="DO33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AI34" i="15"/>
  <c r="AJ34" i="15"/>
  <c r="AK34" i="15"/>
  <c r="AL34" i="15"/>
  <c r="AM34" i="15"/>
  <c r="AN34" i="15"/>
  <c r="AO34" i="15"/>
  <c r="AP34" i="15"/>
  <c r="AQ34" i="15"/>
  <c r="AR34" i="15"/>
  <c r="AS34" i="15"/>
  <c r="AT34" i="15"/>
  <c r="AU34" i="15"/>
  <c r="AV34" i="15"/>
  <c r="AW34" i="15"/>
  <c r="AX34" i="15"/>
  <c r="AY34" i="15"/>
  <c r="AZ34" i="15"/>
  <c r="BA34" i="15"/>
  <c r="BB34" i="15"/>
  <c r="BC34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CM34" i="15"/>
  <c r="CN34" i="15"/>
  <c r="CO34" i="15"/>
  <c r="CP34" i="15"/>
  <c r="CQ34" i="15"/>
  <c r="CR34" i="15"/>
  <c r="CS34" i="15"/>
  <c r="CT34" i="15"/>
  <c r="CU34" i="15"/>
  <c r="CV34" i="15"/>
  <c r="CW34" i="15"/>
  <c r="CX34" i="15"/>
  <c r="CY34" i="15"/>
  <c r="CZ34" i="15"/>
  <c r="DA34" i="15"/>
  <c r="DB34" i="15"/>
  <c r="DC34" i="15"/>
  <c r="DD34" i="15"/>
  <c r="DE34" i="15"/>
  <c r="DF34" i="15"/>
  <c r="DG34" i="15"/>
  <c r="DH34" i="15"/>
  <c r="DI34" i="15"/>
  <c r="DJ34" i="15"/>
  <c r="DK34" i="15"/>
  <c r="DL34" i="15"/>
  <c r="DM34" i="15"/>
  <c r="DN34" i="15"/>
  <c r="DO34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G35" i="15"/>
  <c r="AH35" i="15"/>
  <c r="AI35" i="15"/>
  <c r="AJ35" i="15"/>
  <c r="AK35" i="15"/>
  <c r="AL35" i="15"/>
  <c r="AM35" i="15"/>
  <c r="AN35" i="15"/>
  <c r="AO35" i="15"/>
  <c r="AP35" i="15"/>
  <c r="AQ35" i="15"/>
  <c r="AR35" i="15"/>
  <c r="AS35" i="15"/>
  <c r="AT35" i="15"/>
  <c r="AU35" i="15"/>
  <c r="AV35" i="15"/>
  <c r="AW35" i="15"/>
  <c r="AX35" i="15"/>
  <c r="AY35" i="15"/>
  <c r="AZ35" i="15"/>
  <c r="BA35" i="15"/>
  <c r="BB35" i="15"/>
  <c r="BC35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CM35" i="15"/>
  <c r="CN35" i="15"/>
  <c r="CO35" i="15"/>
  <c r="CP35" i="15"/>
  <c r="CQ35" i="15"/>
  <c r="CR35" i="15"/>
  <c r="CS35" i="15"/>
  <c r="CT35" i="15"/>
  <c r="CU35" i="15"/>
  <c r="CV35" i="15"/>
  <c r="CW35" i="15"/>
  <c r="CX35" i="15"/>
  <c r="CY35" i="15"/>
  <c r="CZ35" i="15"/>
  <c r="DA35" i="15"/>
  <c r="DB35" i="15"/>
  <c r="DC35" i="15"/>
  <c r="DD35" i="15"/>
  <c r="DE35" i="15"/>
  <c r="DF35" i="15"/>
  <c r="DG35" i="15"/>
  <c r="DH35" i="15"/>
  <c r="DI35" i="15"/>
  <c r="DJ35" i="15"/>
  <c r="DK35" i="15"/>
  <c r="DL35" i="15"/>
  <c r="DM35" i="15"/>
  <c r="DN35" i="15"/>
  <c r="DO35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AI36" i="15"/>
  <c r="AJ36" i="15"/>
  <c r="AK36" i="15"/>
  <c r="AL36" i="15"/>
  <c r="AM36" i="15"/>
  <c r="AN36" i="15"/>
  <c r="AO36" i="15"/>
  <c r="AP36" i="15"/>
  <c r="AQ36" i="15"/>
  <c r="AR36" i="15"/>
  <c r="AS36" i="15"/>
  <c r="AT36" i="15"/>
  <c r="AU36" i="15"/>
  <c r="AV36" i="15"/>
  <c r="AW36" i="15"/>
  <c r="AX36" i="15"/>
  <c r="AY36" i="15"/>
  <c r="AZ36" i="15"/>
  <c r="BA36" i="15"/>
  <c r="BB36" i="15"/>
  <c r="BC36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CM36" i="15"/>
  <c r="CN36" i="15"/>
  <c r="CO36" i="15"/>
  <c r="CP36" i="15"/>
  <c r="CQ36" i="15"/>
  <c r="CR36" i="15"/>
  <c r="CS36" i="15"/>
  <c r="CT36" i="15"/>
  <c r="CU36" i="15"/>
  <c r="CV36" i="15"/>
  <c r="CW36" i="15"/>
  <c r="CX36" i="15"/>
  <c r="CY36" i="15"/>
  <c r="CZ36" i="15"/>
  <c r="DA36" i="15"/>
  <c r="DB36" i="15"/>
  <c r="DC36" i="15"/>
  <c r="DD36" i="15"/>
  <c r="DE36" i="15"/>
  <c r="DF36" i="15"/>
  <c r="DG36" i="15"/>
  <c r="DH36" i="15"/>
  <c r="DI36" i="15"/>
  <c r="DJ36" i="15"/>
  <c r="DK36" i="15"/>
  <c r="DL36" i="15"/>
  <c r="DM36" i="15"/>
  <c r="DN36" i="15"/>
  <c r="DO36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AI37" i="15"/>
  <c r="AJ37" i="15"/>
  <c r="AK37" i="15"/>
  <c r="AL37" i="15"/>
  <c r="AM37" i="15"/>
  <c r="AN37" i="15"/>
  <c r="AO37" i="15"/>
  <c r="AP37" i="15"/>
  <c r="AQ37" i="15"/>
  <c r="AR37" i="15"/>
  <c r="AS37" i="15"/>
  <c r="AT37" i="15"/>
  <c r="AU37" i="15"/>
  <c r="AV37" i="15"/>
  <c r="AW37" i="15"/>
  <c r="AX37" i="15"/>
  <c r="AY37" i="15"/>
  <c r="AZ37" i="15"/>
  <c r="BA37" i="15"/>
  <c r="BB37" i="15"/>
  <c r="BC37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CM37" i="15"/>
  <c r="CN37" i="15"/>
  <c r="CO37" i="15"/>
  <c r="CP37" i="15"/>
  <c r="CQ37" i="15"/>
  <c r="CR37" i="15"/>
  <c r="CS37" i="15"/>
  <c r="CT37" i="15"/>
  <c r="CU37" i="15"/>
  <c r="CV37" i="15"/>
  <c r="CW37" i="15"/>
  <c r="CX37" i="15"/>
  <c r="CY37" i="15"/>
  <c r="CZ37" i="15"/>
  <c r="DA37" i="15"/>
  <c r="DB37" i="15"/>
  <c r="DC37" i="15"/>
  <c r="DD37" i="15"/>
  <c r="DE37" i="15"/>
  <c r="DF37" i="15"/>
  <c r="DG37" i="15"/>
  <c r="DH37" i="15"/>
  <c r="DI37" i="15"/>
  <c r="DJ37" i="15"/>
  <c r="DK37" i="15"/>
  <c r="DL37" i="15"/>
  <c r="DM37" i="15"/>
  <c r="DN37" i="15"/>
  <c r="DO37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AI38" i="15"/>
  <c r="AJ38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W38" i="15"/>
  <c r="AX38" i="15"/>
  <c r="AY38" i="15"/>
  <c r="AZ38" i="15"/>
  <c r="BA38" i="15"/>
  <c r="BB38" i="15"/>
  <c r="BC38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CM38" i="15"/>
  <c r="CN38" i="15"/>
  <c r="CO38" i="15"/>
  <c r="CP38" i="15"/>
  <c r="CQ38" i="15"/>
  <c r="CR38" i="15"/>
  <c r="CS38" i="15"/>
  <c r="CT38" i="15"/>
  <c r="CU38" i="15"/>
  <c r="CV38" i="15"/>
  <c r="CW38" i="15"/>
  <c r="CX38" i="15"/>
  <c r="CY38" i="15"/>
  <c r="CZ38" i="15"/>
  <c r="DA38" i="15"/>
  <c r="DB38" i="15"/>
  <c r="DC38" i="15"/>
  <c r="DD38" i="15"/>
  <c r="DE38" i="15"/>
  <c r="DF38" i="15"/>
  <c r="DG38" i="15"/>
  <c r="DH38" i="15"/>
  <c r="DI38" i="15"/>
  <c r="DJ38" i="15"/>
  <c r="DK38" i="15"/>
  <c r="DL38" i="15"/>
  <c r="DM38" i="15"/>
  <c r="DN38" i="15"/>
  <c r="DO38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AI39" i="15"/>
  <c r="AJ39" i="15"/>
  <c r="AK39" i="15"/>
  <c r="AL39" i="15"/>
  <c r="AM39" i="15"/>
  <c r="AN39" i="15"/>
  <c r="AO39" i="15"/>
  <c r="AP39" i="15"/>
  <c r="AQ39" i="15"/>
  <c r="AR39" i="15"/>
  <c r="AS39" i="15"/>
  <c r="AT39" i="15"/>
  <c r="AU39" i="15"/>
  <c r="AV39" i="15"/>
  <c r="AW39" i="15"/>
  <c r="AX39" i="15"/>
  <c r="AY39" i="15"/>
  <c r="AZ39" i="15"/>
  <c r="BA39" i="15"/>
  <c r="BB39" i="15"/>
  <c r="BC39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CM39" i="15"/>
  <c r="CN39" i="15"/>
  <c r="CO39" i="15"/>
  <c r="CP39" i="15"/>
  <c r="CQ39" i="15"/>
  <c r="CR39" i="15"/>
  <c r="CS39" i="15"/>
  <c r="CT39" i="15"/>
  <c r="CU39" i="15"/>
  <c r="CV39" i="15"/>
  <c r="CW39" i="15"/>
  <c r="CX39" i="15"/>
  <c r="CY39" i="15"/>
  <c r="CZ39" i="15"/>
  <c r="DA39" i="15"/>
  <c r="DB39" i="15"/>
  <c r="DC39" i="15"/>
  <c r="DD39" i="15"/>
  <c r="DE39" i="15"/>
  <c r="DF39" i="15"/>
  <c r="DG39" i="15"/>
  <c r="DH39" i="15"/>
  <c r="DI39" i="15"/>
  <c r="DJ39" i="15"/>
  <c r="DK39" i="15"/>
  <c r="DL39" i="15"/>
  <c r="DM39" i="15"/>
  <c r="DN39" i="15"/>
  <c r="DO39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AI40" i="15"/>
  <c r="AJ40" i="15"/>
  <c r="AK40" i="15"/>
  <c r="AL40" i="15"/>
  <c r="AM40" i="15"/>
  <c r="AN40" i="15"/>
  <c r="AO40" i="15"/>
  <c r="AP40" i="15"/>
  <c r="AQ40" i="15"/>
  <c r="AR40" i="15"/>
  <c r="AS40" i="15"/>
  <c r="AT40" i="15"/>
  <c r="AU40" i="15"/>
  <c r="AV40" i="15"/>
  <c r="AW40" i="15"/>
  <c r="AX40" i="15"/>
  <c r="AY40" i="15"/>
  <c r="AZ40" i="15"/>
  <c r="BA40" i="15"/>
  <c r="BB40" i="15"/>
  <c r="BC40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CM40" i="15"/>
  <c r="CN40" i="15"/>
  <c r="CO40" i="15"/>
  <c r="CP40" i="15"/>
  <c r="CQ40" i="15"/>
  <c r="CR40" i="15"/>
  <c r="CS40" i="15"/>
  <c r="CT40" i="15"/>
  <c r="CU40" i="15"/>
  <c r="CV40" i="15"/>
  <c r="CW40" i="15"/>
  <c r="CX40" i="15"/>
  <c r="CY40" i="15"/>
  <c r="CZ40" i="15"/>
  <c r="DA40" i="15"/>
  <c r="DB40" i="15"/>
  <c r="DC40" i="15"/>
  <c r="DD40" i="15"/>
  <c r="DE40" i="15"/>
  <c r="DF40" i="15"/>
  <c r="DG40" i="15"/>
  <c r="DH40" i="15"/>
  <c r="DI40" i="15"/>
  <c r="DJ40" i="15"/>
  <c r="DK40" i="15"/>
  <c r="DL40" i="15"/>
  <c r="DM40" i="15"/>
  <c r="DN40" i="15"/>
  <c r="DO40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AI41" i="15"/>
  <c r="AJ41" i="15"/>
  <c r="AK41" i="15"/>
  <c r="AL41" i="15"/>
  <c r="AM41" i="15"/>
  <c r="AN41" i="15"/>
  <c r="AO41" i="15"/>
  <c r="AP41" i="15"/>
  <c r="AQ41" i="15"/>
  <c r="AR41" i="15"/>
  <c r="AS41" i="15"/>
  <c r="AT41" i="15"/>
  <c r="AU41" i="15"/>
  <c r="AV41" i="15"/>
  <c r="AW41" i="15"/>
  <c r="AX41" i="15"/>
  <c r="AY41" i="15"/>
  <c r="AZ41" i="15"/>
  <c r="BA41" i="15"/>
  <c r="BB41" i="15"/>
  <c r="BC41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CM41" i="15"/>
  <c r="CN41" i="15"/>
  <c r="CO41" i="15"/>
  <c r="CP41" i="15"/>
  <c r="CQ41" i="15"/>
  <c r="CR41" i="15"/>
  <c r="CS41" i="15"/>
  <c r="CT41" i="15"/>
  <c r="CU41" i="15"/>
  <c r="CV41" i="15"/>
  <c r="CW41" i="15"/>
  <c r="CX41" i="15"/>
  <c r="CY41" i="15"/>
  <c r="CZ41" i="15"/>
  <c r="DA41" i="15"/>
  <c r="DB41" i="15"/>
  <c r="DC41" i="15"/>
  <c r="DD41" i="15"/>
  <c r="DE41" i="15"/>
  <c r="DF41" i="15"/>
  <c r="DG41" i="15"/>
  <c r="DH41" i="15"/>
  <c r="DI41" i="15"/>
  <c r="DJ41" i="15"/>
  <c r="DK41" i="15"/>
  <c r="DL41" i="15"/>
  <c r="DM41" i="15"/>
  <c r="DN41" i="15"/>
  <c r="DO41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AI42" i="15"/>
  <c r="AJ42" i="15"/>
  <c r="AK42" i="15"/>
  <c r="AL42" i="15"/>
  <c r="AM42" i="15"/>
  <c r="AN42" i="15"/>
  <c r="AO42" i="15"/>
  <c r="AP42" i="15"/>
  <c r="AQ42" i="15"/>
  <c r="AR42" i="15"/>
  <c r="AS42" i="15"/>
  <c r="AT42" i="15"/>
  <c r="AU42" i="15"/>
  <c r="AV42" i="15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CM42" i="15"/>
  <c r="CN42" i="15"/>
  <c r="CO42" i="15"/>
  <c r="CP42" i="15"/>
  <c r="CQ42" i="15"/>
  <c r="CR42" i="15"/>
  <c r="CS42" i="15"/>
  <c r="CT42" i="15"/>
  <c r="CU42" i="15"/>
  <c r="CV42" i="15"/>
  <c r="CW42" i="15"/>
  <c r="CX42" i="15"/>
  <c r="CY42" i="15"/>
  <c r="CZ42" i="15"/>
  <c r="DA42" i="15"/>
  <c r="DB42" i="15"/>
  <c r="DC42" i="15"/>
  <c r="DD42" i="15"/>
  <c r="DE42" i="15"/>
  <c r="DF42" i="15"/>
  <c r="DG42" i="15"/>
  <c r="DH42" i="15"/>
  <c r="DI42" i="15"/>
  <c r="DJ42" i="15"/>
  <c r="DK42" i="15"/>
  <c r="DL42" i="15"/>
  <c r="DM42" i="15"/>
  <c r="DN42" i="15"/>
  <c r="DO42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AI43" i="15"/>
  <c r="AJ43" i="15"/>
  <c r="AK43" i="15"/>
  <c r="AL43" i="15"/>
  <c r="AM43" i="15"/>
  <c r="AN43" i="15"/>
  <c r="AO43" i="15"/>
  <c r="AP43" i="15"/>
  <c r="AQ43" i="15"/>
  <c r="AR43" i="15"/>
  <c r="AS43" i="15"/>
  <c r="AT43" i="15"/>
  <c r="AU43" i="15"/>
  <c r="AV43" i="15"/>
  <c r="AW43" i="15"/>
  <c r="AX43" i="15"/>
  <c r="AY43" i="15"/>
  <c r="AZ43" i="15"/>
  <c r="BA43" i="15"/>
  <c r="BB43" i="15"/>
  <c r="BC43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CM43" i="15"/>
  <c r="CN43" i="15"/>
  <c r="CO43" i="15"/>
  <c r="CP43" i="15"/>
  <c r="CQ43" i="15"/>
  <c r="CR43" i="15"/>
  <c r="CS43" i="15"/>
  <c r="CT43" i="15"/>
  <c r="CU43" i="15"/>
  <c r="CV43" i="15"/>
  <c r="CW43" i="15"/>
  <c r="CX43" i="15"/>
  <c r="CY43" i="15"/>
  <c r="CZ43" i="15"/>
  <c r="DA43" i="15"/>
  <c r="DB43" i="15"/>
  <c r="DC43" i="15"/>
  <c r="DD43" i="15"/>
  <c r="DE43" i="15"/>
  <c r="DF43" i="15"/>
  <c r="DG43" i="15"/>
  <c r="DH43" i="15"/>
  <c r="DI43" i="15"/>
  <c r="DJ43" i="15"/>
  <c r="DK43" i="15"/>
  <c r="DL43" i="15"/>
  <c r="DM43" i="15"/>
  <c r="DN43" i="15"/>
  <c r="DO43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AI44" i="15"/>
  <c r="AJ44" i="15"/>
  <c r="AK44" i="15"/>
  <c r="AL44" i="15"/>
  <c r="AM44" i="15"/>
  <c r="AN44" i="15"/>
  <c r="AO44" i="15"/>
  <c r="AP44" i="15"/>
  <c r="AQ44" i="15"/>
  <c r="AR44" i="15"/>
  <c r="AS44" i="15"/>
  <c r="AT44" i="15"/>
  <c r="AU44" i="15"/>
  <c r="AV44" i="15"/>
  <c r="AW44" i="15"/>
  <c r="AX44" i="15"/>
  <c r="AY44" i="15"/>
  <c r="AZ44" i="15"/>
  <c r="BA44" i="15"/>
  <c r="BB44" i="15"/>
  <c r="BC44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CM44" i="15"/>
  <c r="CN44" i="15"/>
  <c r="CO44" i="15"/>
  <c r="CP44" i="15"/>
  <c r="CQ44" i="15"/>
  <c r="CR44" i="15"/>
  <c r="CS44" i="15"/>
  <c r="CT44" i="15"/>
  <c r="CU44" i="15"/>
  <c r="CV44" i="15"/>
  <c r="CW44" i="15"/>
  <c r="CX44" i="15"/>
  <c r="CY44" i="15"/>
  <c r="CZ44" i="15"/>
  <c r="DA44" i="15"/>
  <c r="DB44" i="15"/>
  <c r="DC44" i="15"/>
  <c r="DD44" i="15"/>
  <c r="DE44" i="15"/>
  <c r="DF44" i="15"/>
  <c r="DG44" i="15"/>
  <c r="DH44" i="15"/>
  <c r="DI44" i="15"/>
  <c r="DJ44" i="15"/>
  <c r="DK44" i="15"/>
  <c r="DL44" i="15"/>
  <c r="DM44" i="15"/>
  <c r="DN44" i="15"/>
  <c r="DO44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AI45" i="15"/>
  <c r="AJ45" i="15"/>
  <c r="AK45" i="15"/>
  <c r="AL45" i="15"/>
  <c r="AM45" i="15"/>
  <c r="AN45" i="15"/>
  <c r="AO45" i="15"/>
  <c r="AP45" i="15"/>
  <c r="AQ45" i="15"/>
  <c r="AR45" i="15"/>
  <c r="AS45" i="15"/>
  <c r="AT45" i="15"/>
  <c r="AU45" i="15"/>
  <c r="AV45" i="15"/>
  <c r="AW45" i="15"/>
  <c r="AX45" i="15"/>
  <c r="AY45" i="15"/>
  <c r="AZ45" i="15"/>
  <c r="BA45" i="15"/>
  <c r="BB45" i="15"/>
  <c r="BC45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CM45" i="15"/>
  <c r="CN45" i="15"/>
  <c r="CO45" i="15"/>
  <c r="CP45" i="15"/>
  <c r="CQ45" i="15"/>
  <c r="CR45" i="15"/>
  <c r="CS45" i="15"/>
  <c r="CT45" i="15"/>
  <c r="CU45" i="15"/>
  <c r="CV45" i="15"/>
  <c r="CW45" i="15"/>
  <c r="CX45" i="15"/>
  <c r="CY45" i="15"/>
  <c r="CZ45" i="15"/>
  <c r="DA45" i="15"/>
  <c r="DB45" i="15"/>
  <c r="DC45" i="15"/>
  <c r="DD45" i="15"/>
  <c r="DE45" i="15"/>
  <c r="DF45" i="15"/>
  <c r="DG45" i="15"/>
  <c r="DH45" i="15"/>
  <c r="DI45" i="15"/>
  <c r="DJ45" i="15"/>
  <c r="DK45" i="15"/>
  <c r="DL45" i="15"/>
  <c r="DM45" i="15"/>
  <c r="DN45" i="15"/>
  <c r="DO45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AI46" i="15"/>
  <c r="AJ46" i="15"/>
  <c r="AK46" i="15"/>
  <c r="AL46" i="15"/>
  <c r="AM46" i="15"/>
  <c r="AN46" i="15"/>
  <c r="AO46" i="15"/>
  <c r="AP46" i="15"/>
  <c r="AQ46" i="15"/>
  <c r="AR46" i="15"/>
  <c r="AS46" i="15"/>
  <c r="AT46" i="15"/>
  <c r="AU46" i="15"/>
  <c r="AV46" i="15"/>
  <c r="AW46" i="15"/>
  <c r="AX46" i="15"/>
  <c r="AY46" i="15"/>
  <c r="AZ46" i="15"/>
  <c r="BA46" i="15"/>
  <c r="BB46" i="15"/>
  <c r="BC46" i="15"/>
  <c r="BD46" i="15"/>
  <c r="BE46" i="15"/>
  <c r="BF46" i="15"/>
  <c r="BG46" i="15"/>
  <c r="BH46" i="15"/>
  <c r="BI46" i="15"/>
  <c r="BJ46" i="15"/>
  <c r="BK46" i="15"/>
  <c r="BL46" i="15"/>
  <c r="BM46" i="15"/>
  <c r="BN46" i="15"/>
  <c r="BO46" i="15"/>
  <c r="BP46" i="15"/>
  <c r="BQ46" i="15"/>
  <c r="BR46" i="15"/>
  <c r="BS46" i="15"/>
  <c r="BT46" i="15"/>
  <c r="BU46" i="15"/>
  <c r="BV46" i="15"/>
  <c r="BW46" i="15"/>
  <c r="BX46" i="15"/>
  <c r="BY46" i="15"/>
  <c r="BZ46" i="15"/>
  <c r="CA46" i="15"/>
  <c r="CB46" i="15"/>
  <c r="CC46" i="15"/>
  <c r="CD46" i="15"/>
  <c r="CE46" i="15"/>
  <c r="CF46" i="15"/>
  <c r="CG46" i="15"/>
  <c r="CH46" i="15"/>
  <c r="CI46" i="15"/>
  <c r="CJ46" i="15"/>
  <c r="CK46" i="15"/>
  <c r="CL46" i="15"/>
  <c r="CM46" i="15"/>
  <c r="CN46" i="15"/>
  <c r="CO46" i="15"/>
  <c r="CP46" i="15"/>
  <c r="CQ46" i="15"/>
  <c r="CR46" i="15"/>
  <c r="CS46" i="15"/>
  <c r="CT46" i="15"/>
  <c r="CU46" i="15"/>
  <c r="CV46" i="15"/>
  <c r="CW46" i="15"/>
  <c r="CX46" i="15"/>
  <c r="CY46" i="15"/>
  <c r="CZ46" i="15"/>
  <c r="DA46" i="15"/>
  <c r="DB46" i="15"/>
  <c r="DC46" i="15"/>
  <c r="DD46" i="15"/>
  <c r="DE46" i="15"/>
  <c r="DF46" i="15"/>
  <c r="DG46" i="15"/>
  <c r="DH46" i="15"/>
  <c r="DI46" i="15"/>
  <c r="DJ46" i="15"/>
  <c r="DK46" i="15"/>
  <c r="DL46" i="15"/>
  <c r="DM46" i="15"/>
  <c r="DN46" i="15"/>
  <c r="DO46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AI47" i="15"/>
  <c r="AJ47" i="15"/>
  <c r="AK47" i="15"/>
  <c r="AL47" i="15"/>
  <c r="AM47" i="15"/>
  <c r="AN47" i="15"/>
  <c r="AO47" i="15"/>
  <c r="AP47" i="15"/>
  <c r="AQ47" i="15"/>
  <c r="AR47" i="15"/>
  <c r="AS47" i="15"/>
  <c r="AT47" i="15"/>
  <c r="AU47" i="15"/>
  <c r="AV47" i="15"/>
  <c r="AW47" i="15"/>
  <c r="AX47" i="15"/>
  <c r="AY47" i="15"/>
  <c r="AZ47" i="15"/>
  <c r="BA47" i="15"/>
  <c r="BB47" i="15"/>
  <c r="BC47" i="15"/>
  <c r="BD47" i="15"/>
  <c r="BE47" i="15"/>
  <c r="BF47" i="15"/>
  <c r="BG47" i="15"/>
  <c r="BH47" i="15"/>
  <c r="BI47" i="15"/>
  <c r="BJ47" i="15"/>
  <c r="BK47" i="15"/>
  <c r="BL47" i="15"/>
  <c r="BM47" i="15"/>
  <c r="BN47" i="15"/>
  <c r="BO47" i="15"/>
  <c r="BP47" i="15"/>
  <c r="BQ47" i="15"/>
  <c r="BR47" i="15"/>
  <c r="BS47" i="15"/>
  <c r="BT47" i="15"/>
  <c r="BU47" i="15"/>
  <c r="BV47" i="15"/>
  <c r="BW47" i="15"/>
  <c r="BX47" i="15"/>
  <c r="BY47" i="15"/>
  <c r="BZ47" i="15"/>
  <c r="CA47" i="15"/>
  <c r="CB47" i="15"/>
  <c r="CC47" i="15"/>
  <c r="CD47" i="15"/>
  <c r="CE47" i="15"/>
  <c r="CF47" i="15"/>
  <c r="CG47" i="15"/>
  <c r="CH47" i="15"/>
  <c r="CI47" i="15"/>
  <c r="CJ47" i="15"/>
  <c r="CK47" i="15"/>
  <c r="CL47" i="15"/>
  <c r="CM47" i="15"/>
  <c r="CN47" i="15"/>
  <c r="CO47" i="15"/>
  <c r="CP47" i="15"/>
  <c r="CQ47" i="15"/>
  <c r="CR47" i="15"/>
  <c r="CS47" i="15"/>
  <c r="CT47" i="15"/>
  <c r="CU47" i="15"/>
  <c r="CV47" i="15"/>
  <c r="CW47" i="15"/>
  <c r="CX47" i="15"/>
  <c r="CY47" i="15"/>
  <c r="CZ47" i="15"/>
  <c r="DA47" i="15"/>
  <c r="DB47" i="15"/>
  <c r="DC47" i="15"/>
  <c r="DD47" i="15"/>
  <c r="DE47" i="15"/>
  <c r="DF47" i="15"/>
  <c r="DG47" i="15"/>
  <c r="DH47" i="15"/>
  <c r="DI47" i="15"/>
  <c r="DJ47" i="15"/>
  <c r="DK47" i="15"/>
  <c r="DL47" i="15"/>
  <c r="DM47" i="15"/>
  <c r="DN47" i="15"/>
  <c r="DO47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AI48" i="15"/>
  <c r="AJ48" i="15"/>
  <c r="AK48" i="15"/>
  <c r="AL48" i="15"/>
  <c r="AM48" i="15"/>
  <c r="AN48" i="15"/>
  <c r="AO48" i="15"/>
  <c r="AP48" i="15"/>
  <c r="AQ48" i="15"/>
  <c r="AR48" i="15"/>
  <c r="AS48" i="15"/>
  <c r="AT48" i="15"/>
  <c r="AU48" i="15"/>
  <c r="AV48" i="15"/>
  <c r="AW48" i="15"/>
  <c r="AX48" i="15"/>
  <c r="AY48" i="15"/>
  <c r="AZ48" i="15"/>
  <c r="BA48" i="15"/>
  <c r="BB48" i="15"/>
  <c r="BC48" i="15"/>
  <c r="BD48" i="15"/>
  <c r="BE48" i="15"/>
  <c r="BF48" i="15"/>
  <c r="BG48" i="15"/>
  <c r="BH48" i="15"/>
  <c r="BI48" i="15"/>
  <c r="BJ48" i="15"/>
  <c r="BK48" i="15"/>
  <c r="BL48" i="15"/>
  <c r="BM48" i="15"/>
  <c r="BN48" i="15"/>
  <c r="BO48" i="15"/>
  <c r="BP48" i="15"/>
  <c r="BQ48" i="15"/>
  <c r="BR48" i="15"/>
  <c r="BS48" i="15"/>
  <c r="BT48" i="15"/>
  <c r="BU48" i="15"/>
  <c r="BV48" i="15"/>
  <c r="BW48" i="15"/>
  <c r="BX48" i="15"/>
  <c r="BY48" i="15"/>
  <c r="BZ48" i="15"/>
  <c r="CA48" i="15"/>
  <c r="CB48" i="15"/>
  <c r="CC48" i="15"/>
  <c r="CD48" i="15"/>
  <c r="CE48" i="15"/>
  <c r="CF48" i="15"/>
  <c r="CG48" i="15"/>
  <c r="CH48" i="15"/>
  <c r="CI48" i="15"/>
  <c r="CJ48" i="15"/>
  <c r="CK48" i="15"/>
  <c r="CL48" i="15"/>
  <c r="CM48" i="15"/>
  <c r="CN48" i="15"/>
  <c r="CO48" i="15"/>
  <c r="CP48" i="15"/>
  <c r="CQ48" i="15"/>
  <c r="CR48" i="15"/>
  <c r="CS48" i="15"/>
  <c r="CT48" i="15"/>
  <c r="CU48" i="15"/>
  <c r="CV48" i="15"/>
  <c r="CW48" i="15"/>
  <c r="CX48" i="15"/>
  <c r="CY48" i="15"/>
  <c r="CZ48" i="15"/>
  <c r="DA48" i="15"/>
  <c r="DB48" i="15"/>
  <c r="DC48" i="15"/>
  <c r="DD48" i="15"/>
  <c r="DE48" i="15"/>
  <c r="DF48" i="15"/>
  <c r="DG48" i="15"/>
  <c r="DH48" i="15"/>
  <c r="DI48" i="15"/>
  <c r="DJ48" i="15"/>
  <c r="DK48" i="15"/>
  <c r="DL48" i="15"/>
  <c r="DM48" i="15"/>
  <c r="DN48" i="15"/>
  <c r="DO48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AI49" i="15"/>
  <c r="AJ49" i="15"/>
  <c r="AK49" i="15"/>
  <c r="AL49" i="15"/>
  <c r="AM49" i="15"/>
  <c r="AN49" i="15"/>
  <c r="AO49" i="15"/>
  <c r="AP49" i="15"/>
  <c r="AQ49" i="15"/>
  <c r="AR49" i="15"/>
  <c r="AS49" i="15"/>
  <c r="AT49" i="15"/>
  <c r="AU49" i="15"/>
  <c r="AV49" i="15"/>
  <c r="AW49" i="15"/>
  <c r="AX49" i="15"/>
  <c r="AY49" i="15"/>
  <c r="AZ49" i="15"/>
  <c r="BA49" i="15"/>
  <c r="BB49" i="15"/>
  <c r="BC49" i="15"/>
  <c r="BD49" i="15"/>
  <c r="BE49" i="15"/>
  <c r="BF49" i="15"/>
  <c r="BG49" i="15"/>
  <c r="BH49" i="15"/>
  <c r="BI49" i="15"/>
  <c r="BJ49" i="15"/>
  <c r="BK49" i="15"/>
  <c r="BL49" i="15"/>
  <c r="BM49" i="15"/>
  <c r="BN49" i="15"/>
  <c r="BO49" i="15"/>
  <c r="BP49" i="15"/>
  <c r="BQ49" i="15"/>
  <c r="BR49" i="15"/>
  <c r="BS49" i="15"/>
  <c r="BT49" i="15"/>
  <c r="BU49" i="15"/>
  <c r="BV49" i="15"/>
  <c r="BW49" i="15"/>
  <c r="BX49" i="15"/>
  <c r="BY49" i="15"/>
  <c r="BZ49" i="15"/>
  <c r="CA49" i="15"/>
  <c r="CB49" i="15"/>
  <c r="CC49" i="15"/>
  <c r="CD49" i="15"/>
  <c r="CE49" i="15"/>
  <c r="CF49" i="15"/>
  <c r="CG49" i="15"/>
  <c r="CH49" i="15"/>
  <c r="CI49" i="15"/>
  <c r="CJ49" i="15"/>
  <c r="CK49" i="15"/>
  <c r="CL49" i="15"/>
  <c r="CM49" i="15"/>
  <c r="CN49" i="15"/>
  <c r="CO49" i="15"/>
  <c r="CP49" i="15"/>
  <c r="CQ49" i="15"/>
  <c r="CR49" i="15"/>
  <c r="CS49" i="15"/>
  <c r="CT49" i="15"/>
  <c r="CU49" i="15"/>
  <c r="CV49" i="15"/>
  <c r="CW49" i="15"/>
  <c r="CX49" i="15"/>
  <c r="CY49" i="15"/>
  <c r="CZ49" i="15"/>
  <c r="DA49" i="15"/>
  <c r="DB49" i="15"/>
  <c r="DC49" i="15"/>
  <c r="DD49" i="15"/>
  <c r="DE49" i="15"/>
  <c r="DF49" i="15"/>
  <c r="DG49" i="15"/>
  <c r="DH49" i="15"/>
  <c r="DI49" i="15"/>
  <c r="DJ49" i="15"/>
  <c r="DK49" i="15"/>
  <c r="DL49" i="15"/>
  <c r="DM49" i="15"/>
  <c r="DN49" i="15"/>
  <c r="DO49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AI50" i="15"/>
  <c r="AJ50" i="15"/>
  <c r="AK50" i="15"/>
  <c r="AL50" i="15"/>
  <c r="AM50" i="15"/>
  <c r="AN50" i="15"/>
  <c r="AO50" i="15"/>
  <c r="AP50" i="15"/>
  <c r="AQ50" i="15"/>
  <c r="AR50" i="15"/>
  <c r="AS50" i="15"/>
  <c r="AT50" i="15"/>
  <c r="AU50" i="15"/>
  <c r="AV50" i="15"/>
  <c r="AW50" i="15"/>
  <c r="AX50" i="15"/>
  <c r="AY50" i="15"/>
  <c r="AZ50" i="15"/>
  <c r="BA50" i="15"/>
  <c r="BB50" i="15"/>
  <c r="BC50" i="15"/>
  <c r="BD50" i="15"/>
  <c r="BE50" i="15"/>
  <c r="BF50" i="15"/>
  <c r="BG50" i="15"/>
  <c r="BH50" i="15"/>
  <c r="BI50" i="15"/>
  <c r="BJ50" i="15"/>
  <c r="BK50" i="15"/>
  <c r="BL50" i="15"/>
  <c r="BM50" i="15"/>
  <c r="BN50" i="15"/>
  <c r="BO50" i="15"/>
  <c r="BP50" i="15"/>
  <c r="BQ50" i="15"/>
  <c r="BR50" i="15"/>
  <c r="BS50" i="15"/>
  <c r="BT50" i="15"/>
  <c r="BU50" i="15"/>
  <c r="BV50" i="15"/>
  <c r="BW50" i="15"/>
  <c r="BX50" i="15"/>
  <c r="BY50" i="15"/>
  <c r="BZ50" i="15"/>
  <c r="CA50" i="15"/>
  <c r="CB50" i="15"/>
  <c r="CC50" i="15"/>
  <c r="CD50" i="15"/>
  <c r="CE50" i="15"/>
  <c r="CF50" i="15"/>
  <c r="CG50" i="15"/>
  <c r="CH50" i="15"/>
  <c r="CI50" i="15"/>
  <c r="CJ50" i="15"/>
  <c r="CK50" i="15"/>
  <c r="CL50" i="15"/>
  <c r="CM50" i="15"/>
  <c r="CN50" i="15"/>
  <c r="CO50" i="15"/>
  <c r="CP50" i="15"/>
  <c r="CQ50" i="15"/>
  <c r="CR50" i="15"/>
  <c r="CS50" i="15"/>
  <c r="CT50" i="15"/>
  <c r="CU50" i="15"/>
  <c r="CV50" i="15"/>
  <c r="CW50" i="15"/>
  <c r="CX50" i="15"/>
  <c r="CY50" i="15"/>
  <c r="CZ50" i="15"/>
  <c r="DA50" i="15"/>
  <c r="DB50" i="15"/>
  <c r="DC50" i="15"/>
  <c r="DD50" i="15"/>
  <c r="DE50" i="15"/>
  <c r="DF50" i="15"/>
  <c r="DG50" i="15"/>
  <c r="DH50" i="15"/>
  <c r="DI50" i="15"/>
  <c r="DJ50" i="15"/>
  <c r="DK50" i="15"/>
  <c r="DL50" i="15"/>
  <c r="DM50" i="15"/>
  <c r="DN50" i="15"/>
  <c r="DO50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AI51" i="15"/>
  <c r="AJ51" i="15"/>
  <c r="AK51" i="15"/>
  <c r="AL51" i="15"/>
  <c r="AM51" i="15"/>
  <c r="AN51" i="15"/>
  <c r="AO51" i="15"/>
  <c r="AP51" i="15"/>
  <c r="AQ51" i="15"/>
  <c r="AR51" i="15"/>
  <c r="AS51" i="15"/>
  <c r="AT51" i="15"/>
  <c r="AU51" i="15"/>
  <c r="AV51" i="15"/>
  <c r="AW51" i="15"/>
  <c r="AX51" i="15"/>
  <c r="AY51" i="15"/>
  <c r="AZ51" i="15"/>
  <c r="BA51" i="15"/>
  <c r="BB51" i="15"/>
  <c r="BC51" i="15"/>
  <c r="BD51" i="15"/>
  <c r="BE51" i="15"/>
  <c r="BF51" i="15"/>
  <c r="BG51" i="15"/>
  <c r="BH51" i="15"/>
  <c r="BI51" i="15"/>
  <c r="BJ51" i="15"/>
  <c r="BK51" i="15"/>
  <c r="BL51" i="15"/>
  <c r="BM51" i="15"/>
  <c r="BN51" i="15"/>
  <c r="BO51" i="15"/>
  <c r="BP51" i="15"/>
  <c r="BQ51" i="15"/>
  <c r="BR51" i="15"/>
  <c r="BS51" i="15"/>
  <c r="BT51" i="15"/>
  <c r="BU51" i="15"/>
  <c r="BV51" i="15"/>
  <c r="BW51" i="15"/>
  <c r="BX51" i="15"/>
  <c r="BY51" i="15"/>
  <c r="BZ51" i="15"/>
  <c r="CA51" i="15"/>
  <c r="CB51" i="15"/>
  <c r="CC51" i="15"/>
  <c r="CD51" i="15"/>
  <c r="CE51" i="15"/>
  <c r="CF51" i="15"/>
  <c r="CG51" i="15"/>
  <c r="CH51" i="15"/>
  <c r="CI51" i="15"/>
  <c r="CJ51" i="15"/>
  <c r="CK51" i="15"/>
  <c r="CL51" i="15"/>
  <c r="CM51" i="15"/>
  <c r="CN51" i="15"/>
  <c r="CO51" i="15"/>
  <c r="CP51" i="15"/>
  <c r="CQ51" i="15"/>
  <c r="CR51" i="15"/>
  <c r="CS51" i="15"/>
  <c r="CT51" i="15"/>
  <c r="CU51" i="15"/>
  <c r="CV51" i="15"/>
  <c r="CW51" i="15"/>
  <c r="CX51" i="15"/>
  <c r="CY51" i="15"/>
  <c r="CZ51" i="15"/>
  <c r="DA51" i="15"/>
  <c r="DB51" i="15"/>
  <c r="DC51" i="15"/>
  <c r="DD51" i="15"/>
  <c r="DE51" i="15"/>
  <c r="DF51" i="15"/>
  <c r="DG51" i="15"/>
  <c r="DH51" i="15"/>
  <c r="DI51" i="15"/>
  <c r="DJ51" i="15"/>
  <c r="DK51" i="15"/>
  <c r="DL51" i="15"/>
  <c r="DM51" i="15"/>
  <c r="DN51" i="15"/>
  <c r="DO51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AI52" i="15"/>
  <c r="AJ52" i="15"/>
  <c r="AK52" i="15"/>
  <c r="AL52" i="15"/>
  <c r="AM52" i="15"/>
  <c r="AN52" i="15"/>
  <c r="AO52" i="15"/>
  <c r="AP52" i="15"/>
  <c r="AQ52" i="15"/>
  <c r="AR52" i="15"/>
  <c r="AS52" i="15"/>
  <c r="AT52" i="15"/>
  <c r="AU52" i="15"/>
  <c r="AV52" i="15"/>
  <c r="AW52" i="15"/>
  <c r="AX52" i="15"/>
  <c r="AY52" i="15"/>
  <c r="AZ52" i="15"/>
  <c r="BA52" i="15"/>
  <c r="BB52" i="15"/>
  <c r="BC52" i="15"/>
  <c r="BD52" i="15"/>
  <c r="BE52" i="15"/>
  <c r="BF52" i="15"/>
  <c r="BG52" i="15"/>
  <c r="BH52" i="15"/>
  <c r="BI52" i="15"/>
  <c r="BJ52" i="15"/>
  <c r="BK52" i="15"/>
  <c r="BL52" i="15"/>
  <c r="BM52" i="15"/>
  <c r="BN52" i="15"/>
  <c r="BO52" i="15"/>
  <c r="BP52" i="15"/>
  <c r="BQ52" i="15"/>
  <c r="BR52" i="15"/>
  <c r="BS52" i="15"/>
  <c r="BT52" i="15"/>
  <c r="BU52" i="15"/>
  <c r="BV52" i="15"/>
  <c r="BW52" i="15"/>
  <c r="BX52" i="15"/>
  <c r="BY52" i="15"/>
  <c r="BZ52" i="15"/>
  <c r="CA52" i="15"/>
  <c r="CB52" i="15"/>
  <c r="CC52" i="15"/>
  <c r="CD52" i="15"/>
  <c r="CE52" i="15"/>
  <c r="CF52" i="15"/>
  <c r="CG52" i="15"/>
  <c r="CH52" i="15"/>
  <c r="CI52" i="15"/>
  <c r="CJ52" i="15"/>
  <c r="CK52" i="15"/>
  <c r="CL52" i="15"/>
  <c r="CM52" i="15"/>
  <c r="CN52" i="15"/>
  <c r="CO52" i="15"/>
  <c r="CP52" i="15"/>
  <c r="CQ52" i="15"/>
  <c r="CR52" i="15"/>
  <c r="CS52" i="15"/>
  <c r="CT52" i="15"/>
  <c r="CU52" i="15"/>
  <c r="CV52" i="15"/>
  <c r="CW52" i="15"/>
  <c r="CX52" i="15"/>
  <c r="CY52" i="15"/>
  <c r="CZ52" i="15"/>
  <c r="DA52" i="15"/>
  <c r="DB52" i="15"/>
  <c r="DC52" i="15"/>
  <c r="DD52" i="15"/>
  <c r="DE52" i="15"/>
  <c r="DF52" i="15"/>
  <c r="DG52" i="15"/>
  <c r="DH52" i="15"/>
  <c r="DI52" i="15"/>
  <c r="DJ52" i="15"/>
  <c r="DK52" i="15"/>
  <c r="DL52" i="15"/>
  <c r="DM52" i="15"/>
  <c r="DN52" i="15"/>
  <c r="DO52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AI53" i="15"/>
  <c r="AJ53" i="15"/>
  <c r="AK53" i="15"/>
  <c r="AL53" i="15"/>
  <c r="AM53" i="15"/>
  <c r="AN53" i="15"/>
  <c r="AO53" i="15"/>
  <c r="AP53" i="15"/>
  <c r="AQ53" i="15"/>
  <c r="AR53" i="15"/>
  <c r="AS53" i="15"/>
  <c r="AT53" i="15"/>
  <c r="AU53" i="15"/>
  <c r="AV53" i="15"/>
  <c r="AW53" i="15"/>
  <c r="AX53" i="15"/>
  <c r="AY53" i="15"/>
  <c r="AZ53" i="15"/>
  <c r="BA53" i="15"/>
  <c r="BB53" i="15"/>
  <c r="BC53" i="15"/>
  <c r="BD53" i="15"/>
  <c r="BE53" i="15"/>
  <c r="BF53" i="15"/>
  <c r="BG53" i="15"/>
  <c r="BH53" i="15"/>
  <c r="BI53" i="15"/>
  <c r="BJ53" i="15"/>
  <c r="BK53" i="15"/>
  <c r="BL53" i="15"/>
  <c r="BM53" i="15"/>
  <c r="BN53" i="15"/>
  <c r="BO53" i="15"/>
  <c r="BP53" i="15"/>
  <c r="BQ53" i="15"/>
  <c r="BR53" i="15"/>
  <c r="BS53" i="15"/>
  <c r="BT53" i="15"/>
  <c r="BU53" i="15"/>
  <c r="BV53" i="15"/>
  <c r="BW53" i="15"/>
  <c r="BX53" i="15"/>
  <c r="BY53" i="15"/>
  <c r="BZ53" i="15"/>
  <c r="CA53" i="15"/>
  <c r="CB53" i="15"/>
  <c r="CC53" i="15"/>
  <c r="CD53" i="15"/>
  <c r="CE53" i="15"/>
  <c r="CF53" i="15"/>
  <c r="CG53" i="15"/>
  <c r="CH53" i="15"/>
  <c r="CI53" i="15"/>
  <c r="CJ53" i="15"/>
  <c r="CK53" i="15"/>
  <c r="CL53" i="15"/>
  <c r="CM53" i="15"/>
  <c r="CN53" i="15"/>
  <c r="CO53" i="15"/>
  <c r="CP53" i="15"/>
  <c r="CQ53" i="15"/>
  <c r="CR53" i="15"/>
  <c r="CS53" i="15"/>
  <c r="CT53" i="15"/>
  <c r="CU53" i="15"/>
  <c r="CV53" i="15"/>
  <c r="CW53" i="15"/>
  <c r="CX53" i="15"/>
  <c r="CY53" i="15"/>
  <c r="CZ53" i="15"/>
  <c r="DA53" i="15"/>
  <c r="DB53" i="15"/>
  <c r="DC53" i="15"/>
  <c r="DD53" i="15"/>
  <c r="DE53" i="15"/>
  <c r="DF53" i="15"/>
  <c r="DG53" i="15"/>
  <c r="DH53" i="15"/>
  <c r="DI53" i="15"/>
  <c r="DJ53" i="15"/>
  <c r="DK53" i="15"/>
  <c r="DL53" i="15"/>
  <c r="DM53" i="15"/>
  <c r="DN53" i="15"/>
  <c r="DO53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AI54" i="15"/>
  <c r="AJ54" i="15"/>
  <c r="AK54" i="15"/>
  <c r="AL54" i="15"/>
  <c r="AM54" i="15"/>
  <c r="AN54" i="15"/>
  <c r="AO54" i="15"/>
  <c r="AP54" i="15"/>
  <c r="AQ54" i="15"/>
  <c r="AR54" i="15"/>
  <c r="AS54" i="15"/>
  <c r="AT54" i="15"/>
  <c r="AU54" i="15"/>
  <c r="AV54" i="15"/>
  <c r="AW54" i="15"/>
  <c r="AX54" i="15"/>
  <c r="AY54" i="15"/>
  <c r="AZ54" i="15"/>
  <c r="BA54" i="15"/>
  <c r="BB54" i="15"/>
  <c r="BC54" i="15"/>
  <c r="BD54" i="15"/>
  <c r="BE54" i="15"/>
  <c r="BF54" i="15"/>
  <c r="BG54" i="15"/>
  <c r="BH54" i="15"/>
  <c r="BI54" i="15"/>
  <c r="BJ54" i="15"/>
  <c r="BK54" i="15"/>
  <c r="BL54" i="15"/>
  <c r="BM54" i="15"/>
  <c r="BN54" i="15"/>
  <c r="BO54" i="15"/>
  <c r="BP54" i="15"/>
  <c r="BQ54" i="15"/>
  <c r="BR54" i="15"/>
  <c r="BS54" i="15"/>
  <c r="BT54" i="15"/>
  <c r="BU54" i="15"/>
  <c r="BV54" i="15"/>
  <c r="BW54" i="15"/>
  <c r="BX54" i="15"/>
  <c r="BY54" i="15"/>
  <c r="BZ54" i="15"/>
  <c r="CA54" i="15"/>
  <c r="CB54" i="15"/>
  <c r="CC54" i="15"/>
  <c r="CD54" i="15"/>
  <c r="CE54" i="15"/>
  <c r="CF54" i="15"/>
  <c r="CG54" i="15"/>
  <c r="CH54" i="15"/>
  <c r="CI54" i="15"/>
  <c r="CJ54" i="15"/>
  <c r="CK54" i="15"/>
  <c r="CL54" i="15"/>
  <c r="CM54" i="15"/>
  <c r="CN54" i="15"/>
  <c r="CO54" i="15"/>
  <c r="CP54" i="15"/>
  <c r="CQ54" i="15"/>
  <c r="CR54" i="15"/>
  <c r="CS54" i="15"/>
  <c r="CT54" i="15"/>
  <c r="CU54" i="15"/>
  <c r="CV54" i="15"/>
  <c r="CW54" i="15"/>
  <c r="CX54" i="15"/>
  <c r="CY54" i="15"/>
  <c r="CZ54" i="15"/>
  <c r="DA54" i="15"/>
  <c r="DB54" i="15"/>
  <c r="DC54" i="15"/>
  <c r="DD54" i="15"/>
  <c r="DE54" i="15"/>
  <c r="DF54" i="15"/>
  <c r="DG54" i="15"/>
  <c r="DH54" i="15"/>
  <c r="DI54" i="15"/>
  <c r="DJ54" i="15"/>
  <c r="DK54" i="15"/>
  <c r="DL54" i="15"/>
  <c r="DM54" i="15"/>
  <c r="DN54" i="15"/>
  <c r="DO54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W55" i="15"/>
  <c r="AX55" i="15"/>
  <c r="AY55" i="15"/>
  <c r="AZ55" i="15"/>
  <c r="BA55" i="15"/>
  <c r="BB55" i="15"/>
  <c r="BC55" i="15"/>
  <c r="BD55" i="15"/>
  <c r="BE55" i="15"/>
  <c r="BF55" i="15"/>
  <c r="BG55" i="15"/>
  <c r="BH55" i="15"/>
  <c r="BI55" i="15"/>
  <c r="BJ55" i="15"/>
  <c r="BK55" i="15"/>
  <c r="BL55" i="15"/>
  <c r="BM55" i="15"/>
  <c r="BN55" i="15"/>
  <c r="BO55" i="15"/>
  <c r="BP55" i="15"/>
  <c r="BQ55" i="15"/>
  <c r="BR55" i="15"/>
  <c r="BS55" i="15"/>
  <c r="BT55" i="15"/>
  <c r="BU55" i="15"/>
  <c r="BV55" i="15"/>
  <c r="BW55" i="15"/>
  <c r="BX55" i="15"/>
  <c r="BY55" i="15"/>
  <c r="BZ55" i="15"/>
  <c r="CA55" i="15"/>
  <c r="CB55" i="15"/>
  <c r="CC55" i="15"/>
  <c r="CD55" i="15"/>
  <c r="CE55" i="15"/>
  <c r="CF55" i="15"/>
  <c r="CG55" i="15"/>
  <c r="CH55" i="15"/>
  <c r="CI55" i="15"/>
  <c r="CJ55" i="15"/>
  <c r="CK55" i="15"/>
  <c r="CL55" i="15"/>
  <c r="CM55" i="15"/>
  <c r="CN55" i="15"/>
  <c r="CO55" i="15"/>
  <c r="CP55" i="15"/>
  <c r="CQ55" i="15"/>
  <c r="CR55" i="15"/>
  <c r="CS55" i="15"/>
  <c r="CT55" i="15"/>
  <c r="CU55" i="15"/>
  <c r="CV55" i="15"/>
  <c r="CW55" i="15"/>
  <c r="CX55" i="15"/>
  <c r="CY55" i="15"/>
  <c r="CZ55" i="15"/>
  <c r="DA55" i="15"/>
  <c r="DB55" i="15"/>
  <c r="DC55" i="15"/>
  <c r="DD55" i="15"/>
  <c r="DE55" i="15"/>
  <c r="DF55" i="15"/>
  <c r="DG55" i="15"/>
  <c r="DH55" i="15"/>
  <c r="DI55" i="15"/>
  <c r="DJ55" i="15"/>
  <c r="DK55" i="15"/>
  <c r="DL55" i="15"/>
  <c r="DM55" i="15"/>
  <c r="DN55" i="15"/>
  <c r="DO55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Z56" i="15"/>
  <c r="AA56" i="15"/>
  <c r="AB56" i="15"/>
  <c r="AC56" i="15"/>
  <c r="AD56" i="15"/>
  <c r="AE56" i="15"/>
  <c r="AF56" i="15"/>
  <c r="AG56" i="15"/>
  <c r="AH56" i="15"/>
  <c r="AI56" i="15"/>
  <c r="AJ56" i="15"/>
  <c r="AK56" i="15"/>
  <c r="AL56" i="15"/>
  <c r="AM56" i="15"/>
  <c r="AN56" i="15"/>
  <c r="AO56" i="15"/>
  <c r="AP56" i="15"/>
  <c r="AQ56" i="15"/>
  <c r="AR56" i="15"/>
  <c r="AS56" i="15"/>
  <c r="AT56" i="15"/>
  <c r="AU56" i="15"/>
  <c r="AV56" i="15"/>
  <c r="AW56" i="15"/>
  <c r="AX56" i="15"/>
  <c r="AY56" i="15"/>
  <c r="AZ56" i="15"/>
  <c r="BA56" i="15"/>
  <c r="BB56" i="15"/>
  <c r="BC56" i="15"/>
  <c r="BD56" i="15"/>
  <c r="BE56" i="15"/>
  <c r="BF56" i="15"/>
  <c r="BG56" i="15"/>
  <c r="BH56" i="15"/>
  <c r="BI56" i="15"/>
  <c r="BJ56" i="15"/>
  <c r="BK56" i="15"/>
  <c r="BL56" i="15"/>
  <c r="BM56" i="15"/>
  <c r="BN56" i="15"/>
  <c r="BO56" i="15"/>
  <c r="BP56" i="15"/>
  <c r="BQ56" i="15"/>
  <c r="BR56" i="15"/>
  <c r="BS56" i="15"/>
  <c r="BT56" i="15"/>
  <c r="BU56" i="15"/>
  <c r="BV56" i="15"/>
  <c r="BW56" i="15"/>
  <c r="BX56" i="15"/>
  <c r="BY56" i="15"/>
  <c r="BZ56" i="15"/>
  <c r="CA56" i="15"/>
  <c r="CB56" i="15"/>
  <c r="CC56" i="15"/>
  <c r="CD56" i="15"/>
  <c r="CE56" i="15"/>
  <c r="CF56" i="15"/>
  <c r="CG56" i="15"/>
  <c r="CH56" i="15"/>
  <c r="CI56" i="15"/>
  <c r="CJ56" i="15"/>
  <c r="CK56" i="15"/>
  <c r="CL56" i="15"/>
  <c r="CM56" i="15"/>
  <c r="CN56" i="15"/>
  <c r="CO56" i="15"/>
  <c r="CP56" i="15"/>
  <c r="CQ56" i="15"/>
  <c r="CR56" i="15"/>
  <c r="CS56" i="15"/>
  <c r="CT56" i="15"/>
  <c r="CU56" i="15"/>
  <c r="CV56" i="15"/>
  <c r="CW56" i="15"/>
  <c r="CX56" i="15"/>
  <c r="CY56" i="15"/>
  <c r="CZ56" i="15"/>
  <c r="DA56" i="15"/>
  <c r="DB56" i="15"/>
  <c r="DC56" i="15"/>
  <c r="DD56" i="15"/>
  <c r="DE56" i="15"/>
  <c r="DF56" i="15"/>
  <c r="DG56" i="15"/>
  <c r="DH56" i="15"/>
  <c r="DI56" i="15"/>
  <c r="DJ56" i="15"/>
  <c r="DK56" i="15"/>
  <c r="DL56" i="15"/>
  <c r="DM56" i="15"/>
  <c r="DN56" i="15"/>
  <c r="DO56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AA57" i="15"/>
  <c r="AB57" i="15"/>
  <c r="AC57" i="15"/>
  <c r="AD57" i="15"/>
  <c r="AE57" i="15"/>
  <c r="AF57" i="15"/>
  <c r="AG57" i="15"/>
  <c r="AH57" i="15"/>
  <c r="AI57" i="15"/>
  <c r="AJ57" i="15"/>
  <c r="AK57" i="15"/>
  <c r="AL57" i="15"/>
  <c r="AM57" i="15"/>
  <c r="AN57" i="15"/>
  <c r="AO57" i="15"/>
  <c r="AP57" i="15"/>
  <c r="AQ57" i="15"/>
  <c r="AR57" i="15"/>
  <c r="AS57" i="15"/>
  <c r="AT57" i="15"/>
  <c r="AU57" i="15"/>
  <c r="AV57" i="15"/>
  <c r="AW57" i="15"/>
  <c r="AX57" i="15"/>
  <c r="AY57" i="15"/>
  <c r="AZ57" i="15"/>
  <c r="BA57" i="15"/>
  <c r="BB57" i="15"/>
  <c r="BC57" i="15"/>
  <c r="BD57" i="15"/>
  <c r="BE57" i="15"/>
  <c r="BF57" i="15"/>
  <c r="BG57" i="15"/>
  <c r="BH57" i="15"/>
  <c r="BI57" i="15"/>
  <c r="BJ57" i="15"/>
  <c r="BK57" i="15"/>
  <c r="BL57" i="15"/>
  <c r="BM57" i="15"/>
  <c r="BN57" i="15"/>
  <c r="BO57" i="15"/>
  <c r="BP57" i="15"/>
  <c r="BQ57" i="15"/>
  <c r="BR57" i="15"/>
  <c r="BS57" i="15"/>
  <c r="BT57" i="15"/>
  <c r="BU57" i="15"/>
  <c r="BV57" i="15"/>
  <c r="BW57" i="15"/>
  <c r="BX57" i="15"/>
  <c r="BY57" i="15"/>
  <c r="BZ57" i="15"/>
  <c r="CA57" i="15"/>
  <c r="CB57" i="15"/>
  <c r="CC57" i="15"/>
  <c r="CD57" i="15"/>
  <c r="CE57" i="15"/>
  <c r="CF57" i="15"/>
  <c r="CG57" i="15"/>
  <c r="CH57" i="15"/>
  <c r="CI57" i="15"/>
  <c r="CJ57" i="15"/>
  <c r="CK57" i="15"/>
  <c r="CL57" i="15"/>
  <c r="CM57" i="15"/>
  <c r="CN57" i="15"/>
  <c r="CO57" i="15"/>
  <c r="CP57" i="15"/>
  <c r="CQ57" i="15"/>
  <c r="CR57" i="15"/>
  <c r="CS57" i="15"/>
  <c r="CT57" i="15"/>
  <c r="CU57" i="15"/>
  <c r="CV57" i="15"/>
  <c r="CW57" i="15"/>
  <c r="CX57" i="15"/>
  <c r="CY57" i="15"/>
  <c r="CZ57" i="15"/>
  <c r="DA57" i="15"/>
  <c r="DB57" i="15"/>
  <c r="DC57" i="15"/>
  <c r="DD57" i="15"/>
  <c r="DE57" i="15"/>
  <c r="DF57" i="15"/>
  <c r="DG57" i="15"/>
  <c r="DH57" i="15"/>
  <c r="DI57" i="15"/>
  <c r="DJ57" i="15"/>
  <c r="DK57" i="15"/>
  <c r="DL57" i="15"/>
  <c r="DM57" i="15"/>
  <c r="DN57" i="15"/>
  <c r="DO57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AA58" i="15"/>
  <c r="AB58" i="15"/>
  <c r="AC58" i="15"/>
  <c r="AD58" i="15"/>
  <c r="AE58" i="15"/>
  <c r="AF58" i="15"/>
  <c r="AG58" i="15"/>
  <c r="AH58" i="15"/>
  <c r="AI58" i="15"/>
  <c r="AJ58" i="15"/>
  <c r="AK58" i="15"/>
  <c r="AL58" i="15"/>
  <c r="AM58" i="15"/>
  <c r="AN58" i="15"/>
  <c r="AO58" i="15"/>
  <c r="AP58" i="15"/>
  <c r="AQ58" i="15"/>
  <c r="AR58" i="15"/>
  <c r="AS58" i="15"/>
  <c r="AT58" i="15"/>
  <c r="AU58" i="15"/>
  <c r="AV58" i="15"/>
  <c r="AW58" i="15"/>
  <c r="AX58" i="15"/>
  <c r="AY58" i="15"/>
  <c r="AZ58" i="15"/>
  <c r="BA58" i="15"/>
  <c r="BB58" i="15"/>
  <c r="BC58" i="15"/>
  <c r="BD58" i="15"/>
  <c r="BE58" i="15"/>
  <c r="BF58" i="15"/>
  <c r="BG58" i="15"/>
  <c r="BH58" i="15"/>
  <c r="BI58" i="15"/>
  <c r="BJ58" i="15"/>
  <c r="BK58" i="15"/>
  <c r="BL58" i="15"/>
  <c r="BM58" i="15"/>
  <c r="BN58" i="15"/>
  <c r="BO58" i="15"/>
  <c r="BP58" i="15"/>
  <c r="BQ58" i="15"/>
  <c r="BR58" i="15"/>
  <c r="BS58" i="15"/>
  <c r="BT58" i="15"/>
  <c r="BU58" i="15"/>
  <c r="BV58" i="15"/>
  <c r="BW58" i="15"/>
  <c r="BX58" i="15"/>
  <c r="BY58" i="15"/>
  <c r="BZ58" i="15"/>
  <c r="CA58" i="15"/>
  <c r="CB58" i="15"/>
  <c r="CC58" i="15"/>
  <c r="CD58" i="15"/>
  <c r="CE58" i="15"/>
  <c r="CF58" i="15"/>
  <c r="CG58" i="15"/>
  <c r="CH58" i="15"/>
  <c r="CI58" i="15"/>
  <c r="CJ58" i="15"/>
  <c r="CK58" i="15"/>
  <c r="CL58" i="15"/>
  <c r="CM58" i="15"/>
  <c r="CN58" i="15"/>
  <c r="CO58" i="15"/>
  <c r="CP58" i="15"/>
  <c r="CQ58" i="15"/>
  <c r="CR58" i="15"/>
  <c r="CS58" i="15"/>
  <c r="CT58" i="15"/>
  <c r="CU58" i="15"/>
  <c r="CV58" i="15"/>
  <c r="CW58" i="15"/>
  <c r="CX58" i="15"/>
  <c r="CY58" i="15"/>
  <c r="CZ58" i="15"/>
  <c r="DA58" i="15"/>
  <c r="DB58" i="15"/>
  <c r="DC58" i="15"/>
  <c r="DD58" i="15"/>
  <c r="DE58" i="15"/>
  <c r="DF58" i="15"/>
  <c r="DG58" i="15"/>
  <c r="DH58" i="15"/>
  <c r="DI58" i="15"/>
  <c r="DJ58" i="15"/>
  <c r="DK58" i="15"/>
  <c r="DL58" i="15"/>
  <c r="DM58" i="15"/>
  <c r="DN58" i="15"/>
  <c r="DO58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W59" i="15"/>
  <c r="AX59" i="15"/>
  <c r="AY59" i="15"/>
  <c r="AZ59" i="15"/>
  <c r="BA59" i="15"/>
  <c r="BB59" i="15"/>
  <c r="BC59" i="15"/>
  <c r="BD59" i="15"/>
  <c r="BE59" i="15"/>
  <c r="BF59" i="15"/>
  <c r="BG59" i="15"/>
  <c r="BH59" i="15"/>
  <c r="BI59" i="15"/>
  <c r="BJ59" i="15"/>
  <c r="BK59" i="15"/>
  <c r="BL59" i="15"/>
  <c r="BM59" i="15"/>
  <c r="BN59" i="15"/>
  <c r="BO59" i="15"/>
  <c r="BP59" i="15"/>
  <c r="BQ59" i="15"/>
  <c r="BR59" i="15"/>
  <c r="BS59" i="15"/>
  <c r="BT59" i="15"/>
  <c r="BU59" i="15"/>
  <c r="BV59" i="15"/>
  <c r="BW59" i="15"/>
  <c r="BX59" i="15"/>
  <c r="BY59" i="15"/>
  <c r="BZ59" i="15"/>
  <c r="CA59" i="15"/>
  <c r="CB59" i="15"/>
  <c r="CC59" i="15"/>
  <c r="CD59" i="15"/>
  <c r="CE59" i="15"/>
  <c r="CF59" i="15"/>
  <c r="CG59" i="15"/>
  <c r="CH59" i="15"/>
  <c r="CI59" i="15"/>
  <c r="CJ59" i="15"/>
  <c r="CK59" i="15"/>
  <c r="CL59" i="15"/>
  <c r="CM59" i="15"/>
  <c r="CN59" i="15"/>
  <c r="CO59" i="15"/>
  <c r="CP59" i="15"/>
  <c r="CQ59" i="15"/>
  <c r="CR59" i="15"/>
  <c r="CS59" i="15"/>
  <c r="CT59" i="15"/>
  <c r="CU59" i="15"/>
  <c r="CV59" i="15"/>
  <c r="CW59" i="15"/>
  <c r="CX59" i="15"/>
  <c r="CY59" i="15"/>
  <c r="CZ59" i="15"/>
  <c r="DA59" i="15"/>
  <c r="DB59" i="15"/>
  <c r="DC59" i="15"/>
  <c r="DD59" i="15"/>
  <c r="DE59" i="15"/>
  <c r="DF59" i="15"/>
  <c r="DG59" i="15"/>
  <c r="DH59" i="15"/>
  <c r="DI59" i="15"/>
  <c r="DJ59" i="15"/>
  <c r="DK59" i="15"/>
  <c r="DL59" i="15"/>
  <c r="DM59" i="15"/>
  <c r="DN59" i="15"/>
  <c r="DO59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AF60" i="15"/>
  <c r="AG60" i="15"/>
  <c r="AH60" i="15"/>
  <c r="AI60" i="15"/>
  <c r="AJ60" i="15"/>
  <c r="AK60" i="15"/>
  <c r="AL60" i="15"/>
  <c r="AM60" i="15"/>
  <c r="AN60" i="15"/>
  <c r="AO60" i="15"/>
  <c r="AP60" i="15"/>
  <c r="AQ60" i="15"/>
  <c r="AR60" i="15"/>
  <c r="AS60" i="15"/>
  <c r="AT60" i="15"/>
  <c r="AU60" i="15"/>
  <c r="AV60" i="15"/>
  <c r="AW60" i="15"/>
  <c r="AX60" i="15"/>
  <c r="AY60" i="15"/>
  <c r="AZ60" i="15"/>
  <c r="BA60" i="15"/>
  <c r="BB60" i="15"/>
  <c r="BC60" i="15"/>
  <c r="BD60" i="15"/>
  <c r="BE60" i="15"/>
  <c r="BF60" i="15"/>
  <c r="BG60" i="15"/>
  <c r="BH60" i="15"/>
  <c r="BI60" i="15"/>
  <c r="BJ60" i="15"/>
  <c r="BK60" i="15"/>
  <c r="BL60" i="15"/>
  <c r="BM60" i="15"/>
  <c r="BN60" i="15"/>
  <c r="BO60" i="15"/>
  <c r="BP60" i="15"/>
  <c r="BQ60" i="15"/>
  <c r="BR60" i="15"/>
  <c r="BS60" i="15"/>
  <c r="BT60" i="15"/>
  <c r="BU60" i="15"/>
  <c r="BV60" i="15"/>
  <c r="BW60" i="15"/>
  <c r="BX60" i="15"/>
  <c r="BY60" i="15"/>
  <c r="BZ60" i="15"/>
  <c r="CA60" i="15"/>
  <c r="CB60" i="15"/>
  <c r="CC60" i="15"/>
  <c r="CD60" i="15"/>
  <c r="CE60" i="15"/>
  <c r="CF60" i="15"/>
  <c r="CG60" i="15"/>
  <c r="CH60" i="15"/>
  <c r="CI60" i="15"/>
  <c r="CJ60" i="15"/>
  <c r="CK60" i="15"/>
  <c r="CL60" i="15"/>
  <c r="CM60" i="15"/>
  <c r="CN60" i="15"/>
  <c r="CO60" i="15"/>
  <c r="CP60" i="15"/>
  <c r="CQ60" i="15"/>
  <c r="CR60" i="15"/>
  <c r="CS60" i="15"/>
  <c r="CT60" i="15"/>
  <c r="CU60" i="15"/>
  <c r="CV60" i="15"/>
  <c r="CW60" i="15"/>
  <c r="CX60" i="15"/>
  <c r="CY60" i="15"/>
  <c r="CZ60" i="15"/>
  <c r="DA60" i="15"/>
  <c r="DB60" i="15"/>
  <c r="DC60" i="15"/>
  <c r="DD60" i="15"/>
  <c r="DE60" i="15"/>
  <c r="DF60" i="15"/>
  <c r="DG60" i="15"/>
  <c r="DH60" i="15"/>
  <c r="DI60" i="15"/>
  <c r="DJ60" i="15"/>
  <c r="DK60" i="15"/>
  <c r="DL60" i="15"/>
  <c r="DM60" i="15"/>
  <c r="DN60" i="15"/>
  <c r="DO60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AA61" i="15"/>
  <c r="AB61" i="15"/>
  <c r="AC61" i="15"/>
  <c r="AD61" i="15"/>
  <c r="AE61" i="15"/>
  <c r="AF61" i="15"/>
  <c r="AG61" i="15"/>
  <c r="AH61" i="15"/>
  <c r="AI61" i="15"/>
  <c r="AJ61" i="15"/>
  <c r="AK61" i="15"/>
  <c r="AL61" i="15"/>
  <c r="AM61" i="15"/>
  <c r="AN61" i="15"/>
  <c r="AO61" i="15"/>
  <c r="AP61" i="15"/>
  <c r="AQ61" i="15"/>
  <c r="AR61" i="15"/>
  <c r="AS61" i="15"/>
  <c r="AT61" i="15"/>
  <c r="AU61" i="15"/>
  <c r="AV61" i="15"/>
  <c r="AW61" i="15"/>
  <c r="AX61" i="15"/>
  <c r="AY61" i="15"/>
  <c r="AZ61" i="15"/>
  <c r="BA61" i="15"/>
  <c r="BB61" i="15"/>
  <c r="BC61" i="15"/>
  <c r="BD61" i="15"/>
  <c r="BE61" i="15"/>
  <c r="BF61" i="15"/>
  <c r="BG61" i="15"/>
  <c r="BH61" i="15"/>
  <c r="BI61" i="15"/>
  <c r="BJ61" i="15"/>
  <c r="BK61" i="15"/>
  <c r="BL61" i="15"/>
  <c r="BM61" i="15"/>
  <c r="BN61" i="15"/>
  <c r="BO61" i="15"/>
  <c r="BP61" i="15"/>
  <c r="BQ61" i="15"/>
  <c r="BR61" i="15"/>
  <c r="BS61" i="15"/>
  <c r="BT61" i="15"/>
  <c r="BU61" i="15"/>
  <c r="BV61" i="15"/>
  <c r="BW61" i="15"/>
  <c r="BX61" i="15"/>
  <c r="BY61" i="15"/>
  <c r="BZ61" i="15"/>
  <c r="CA61" i="15"/>
  <c r="CB61" i="15"/>
  <c r="CC61" i="15"/>
  <c r="CD61" i="15"/>
  <c r="CE61" i="15"/>
  <c r="CF61" i="15"/>
  <c r="CG61" i="15"/>
  <c r="CH61" i="15"/>
  <c r="CI61" i="15"/>
  <c r="CJ61" i="15"/>
  <c r="CK61" i="15"/>
  <c r="CL61" i="15"/>
  <c r="CM61" i="15"/>
  <c r="CN61" i="15"/>
  <c r="CO61" i="15"/>
  <c r="CP61" i="15"/>
  <c r="CQ61" i="15"/>
  <c r="CR61" i="15"/>
  <c r="CS61" i="15"/>
  <c r="CT61" i="15"/>
  <c r="CU61" i="15"/>
  <c r="CV61" i="15"/>
  <c r="CW61" i="15"/>
  <c r="CX61" i="15"/>
  <c r="CY61" i="15"/>
  <c r="CZ61" i="15"/>
  <c r="DA61" i="15"/>
  <c r="DB61" i="15"/>
  <c r="DC61" i="15"/>
  <c r="DD61" i="15"/>
  <c r="DE61" i="15"/>
  <c r="DF61" i="15"/>
  <c r="DG61" i="15"/>
  <c r="DH61" i="15"/>
  <c r="DI61" i="15"/>
  <c r="DJ61" i="15"/>
  <c r="DK61" i="15"/>
  <c r="DL61" i="15"/>
  <c r="DM61" i="15"/>
  <c r="DN61" i="15"/>
  <c r="DO61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Y62" i="15"/>
  <c r="Z62" i="15"/>
  <c r="AA62" i="15"/>
  <c r="AB62" i="15"/>
  <c r="AC62" i="15"/>
  <c r="AD62" i="15"/>
  <c r="AE62" i="15"/>
  <c r="AF62" i="15"/>
  <c r="AG62" i="15"/>
  <c r="AH62" i="15"/>
  <c r="AI62" i="15"/>
  <c r="AJ62" i="15"/>
  <c r="AK62" i="15"/>
  <c r="AL62" i="15"/>
  <c r="AM62" i="15"/>
  <c r="AN62" i="15"/>
  <c r="AO62" i="15"/>
  <c r="AP62" i="15"/>
  <c r="AQ62" i="15"/>
  <c r="AR62" i="15"/>
  <c r="AS62" i="15"/>
  <c r="AT62" i="15"/>
  <c r="AU62" i="15"/>
  <c r="AV62" i="15"/>
  <c r="AW62" i="15"/>
  <c r="AX62" i="15"/>
  <c r="AY62" i="15"/>
  <c r="AZ62" i="15"/>
  <c r="BA62" i="15"/>
  <c r="BB62" i="15"/>
  <c r="BC62" i="15"/>
  <c r="BD62" i="15"/>
  <c r="BE62" i="15"/>
  <c r="BF62" i="15"/>
  <c r="BG62" i="15"/>
  <c r="BH62" i="15"/>
  <c r="BI62" i="15"/>
  <c r="BJ62" i="15"/>
  <c r="BK62" i="15"/>
  <c r="BL62" i="15"/>
  <c r="BM62" i="15"/>
  <c r="BN62" i="15"/>
  <c r="BO62" i="15"/>
  <c r="BP62" i="15"/>
  <c r="BQ62" i="15"/>
  <c r="BR62" i="15"/>
  <c r="BS62" i="15"/>
  <c r="BT62" i="15"/>
  <c r="BU62" i="15"/>
  <c r="BV62" i="15"/>
  <c r="BW62" i="15"/>
  <c r="BX62" i="15"/>
  <c r="BY62" i="15"/>
  <c r="BZ62" i="15"/>
  <c r="CA62" i="15"/>
  <c r="CB62" i="15"/>
  <c r="CC62" i="15"/>
  <c r="CD62" i="15"/>
  <c r="CE62" i="15"/>
  <c r="CF62" i="15"/>
  <c r="CG62" i="15"/>
  <c r="CH62" i="15"/>
  <c r="CI62" i="15"/>
  <c r="CJ62" i="15"/>
  <c r="CK62" i="15"/>
  <c r="CL62" i="15"/>
  <c r="CM62" i="15"/>
  <c r="CN62" i="15"/>
  <c r="CO62" i="15"/>
  <c r="CP62" i="15"/>
  <c r="CQ62" i="15"/>
  <c r="CR62" i="15"/>
  <c r="CS62" i="15"/>
  <c r="CT62" i="15"/>
  <c r="CU62" i="15"/>
  <c r="CV62" i="15"/>
  <c r="CW62" i="15"/>
  <c r="CX62" i="15"/>
  <c r="CY62" i="15"/>
  <c r="CZ62" i="15"/>
  <c r="DA62" i="15"/>
  <c r="DB62" i="15"/>
  <c r="DC62" i="15"/>
  <c r="DD62" i="15"/>
  <c r="DE62" i="15"/>
  <c r="DF62" i="15"/>
  <c r="DG62" i="15"/>
  <c r="DH62" i="15"/>
  <c r="DI62" i="15"/>
  <c r="DJ62" i="15"/>
  <c r="DK62" i="15"/>
  <c r="DL62" i="15"/>
  <c r="DM62" i="15"/>
  <c r="DN62" i="15"/>
  <c r="DO62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63" i="15"/>
  <c r="Z63" i="15"/>
  <c r="AA63" i="15"/>
  <c r="AB63" i="15"/>
  <c r="AC63" i="15"/>
  <c r="AD63" i="15"/>
  <c r="AE63" i="15"/>
  <c r="AF63" i="15"/>
  <c r="AG63" i="15"/>
  <c r="AH63" i="15"/>
  <c r="AI63" i="15"/>
  <c r="AJ63" i="15"/>
  <c r="AK63" i="15"/>
  <c r="AL63" i="15"/>
  <c r="AM63" i="15"/>
  <c r="AN63" i="15"/>
  <c r="AO63" i="15"/>
  <c r="AP63" i="15"/>
  <c r="AQ63" i="15"/>
  <c r="AR63" i="15"/>
  <c r="AS63" i="15"/>
  <c r="AT63" i="15"/>
  <c r="AU63" i="15"/>
  <c r="AV63" i="15"/>
  <c r="AW63" i="15"/>
  <c r="AX63" i="15"/>
  <c r="AY63" i="15"/>
  <c r="AZ63" i="15"/>
  <c r="BA63" i="15"/>
  <c r="BB63" i="15"/>
  <c r="BC63" i="15"/>
  <c r="BD63" i="15"/>
  <c r="BE63" i="15"/>
  <c r="BF63" i="15"/>
  <c r="BG63" i="15"/>
  <c r="BH63" i="15"/>
  <c r="BI63" i="15"/>
  <c r="BJ63" i="15"/>
  <c r="BK63" i="15"/>
  <c r="BL63" i="15"/>
  <c r="BM63" i="15"/>
  <c r="BN63" i="15"/>
  <c r="BO63" i="15"/>
  <c r="BP63" i="15"/>
  <c r="BQ63" i="15"/>
  <c r="BR63" i="15"/>
  <c r="BS63" i="15"/>
  <c r="BT63" i="15"/>
  <c r="BU63" i="15"/>
  <c r="BV63" i="15"/>
  <c r="BW63" i="15"/>
  <c r="BX63" i="15"/>
  <c r="BY63" i="15"/>
  <c r="BZ63" i="15"/>
  <c r="CA63" i="15"/>
  <c r="CB63" i="15"/>
  <c r="CC63" i="15"/>
  <c r="CD63" i="15"/>
  <c r="CE63" i="15"/>
  <c r="CF63" i="15"/>
  <c r="CG63" i="15"/>
  <c r="CH63" i="15"/>
  <c r="CI63" i="15"/>
  <c r="CJ63" i="15"/>
  <c r="CK63" i="15"/>
  <c r="CL63" i="15"/>
  <c r="CM63" i="15"/>
  <c r="CN63" i="15"/>
  <c r="CO63" i="15"/>
  <c r="CP63" i="15"/>
  <c r="CQ63" i="15"/>
  <c r="CR63" i="15"/>
  <c r="CS63" i="15"/>
  <c r="CT63" i="15"/>
  <c r="CU63" i="15"/>
  <c r="CV63" i="15"/>
  <c r="CW63" i="15"/>
  <c r="CX63" i="15"/>
  <c r="CY63" i="15"/>
  <c r="CZ63" i="15"/>
  <c r="DA63" i="15"/>
  <c r="DB63" i="15"/>
  <c r="DC63" i="15"/>
  <c r="DD63" i="15"/>
  <c r="DE63" i="15"/>
  <c r="DF63" i="15"/>
  <c r="DG63" i="15"/>
  <c r="DH63" i="15"/>
  <c r="DI63" i="15"/>
  <c r="DJ63" i="15"/>
  <c r="DK63" i="15"/>
  <c r="DL63" i="15"/>
  <c r="DM63" i="15"/>
  <c r="DN63" i="15"/>
  <c r="DO63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64" i="15"/>
  <c r="AA64" i="15"/>
  <c r="AB64" i="15"/>
  <c r="AC64" i="15"/>
  <c r="AD64" i="15"/>
  <c r="AE64" i="15"/>
  <c r="AF64" i="15"/>
  <c r="AG64" i="15"/>
  <c r="AH64" i="15"/>
  <c r="AI64" i="15"/>
  <c r="AJ64" i="15"/>
  <c r="AK64" i="15"/>
  <c r="AL64" i="15"/>
  <c r="AM64" i="15"/>
  <c r="AN64" i="15"/>
  <c r="AO64" i="15"/>
  <c r="AP64" i="15"/>
  <c r="AQ64" i="15"/>
  <c r="AR64" i="15"/>
  <c r="AS64" i="15"/>
  <c r="AT64" i="15"/>
  <c r="AU64" i="15"/>
  <c r="AV64" i="15"/>
  <c r="AW64" i="15"/>
  <c r="AX64" i="15"/>
  <c r="AY64" i="15"/>
  <c r="AZ64" i="15"/>
  <c r="BA64" i="15"/>
  <c r="BB64" i="15"/>
  <c r="BC64" i="15"/>
  <c r="BD64" i="15"/>
  <c r="BE64" i="15"/>
  <c r="BF64" i="15"/>
  <c r="BG64" i="15"/>
  <c r="BH64" i="15"/>
  <c r="BI64" i="15"/>
  <c r="BJ64" i="15"/>
  <c r="BK64" i="15"/>
  <c r="BL64" i="15"/>
  <c r="BM64" i="15"/>
  <c r="BN64" i="15"/>
  <c r="BO64" i="15"/>
  <c r="BP64" i="15"/>
  <c r="BQ64" i="15"/>
  <c r="BR64" i="15"/>
  <c r="BS64" i="15"/>
  <c r="BT64" i="15"/>
  <c r="BU64" i="15"/>
  <c r="BV64" i="15"/>
  <c r="BW64" i="15"/>
  <c r="BX64" i="15"/>
  <c r="BY64" i="15"/>
  <c r="BZ64" i="15"/>
  <c r="CA64" i="15"/>
  <c r="CB64" i="15"/>
  <c r="CC64" i="15"/>
  <c r="CD64" i="15"/>
  <c r="CE64" i="15"/>
  <c r="CF64" i="15"/>
  <c r="CG64" i="15"/>
  <c r="CH64" i="15"/>
  <c r="CI64" i="15"/>
  <c r="CJ64" i="15"/>
  <c r="CK64" i="15"/>
  <c r="CL64" i="15"/>
  <c r="CM64" i="15"/>
  <c r="CN64" i="15"/>
  <c r="CO64" i="15"/>
  <c r="CP64" i="15"/>
  <c r="CQ64" i="15"/>
  <c r="CR64" i="15"/>
  <c r="CS64" i="15"/>
  <c r="CT64" i="15"/>
  <c r="CU64" i="15"/>
  <c r="CV64" i="15"/>
  <c r="CW64" i="15"/>
  <c r="CX64" i="15"/>
  <c r="CY64" i="15"/>
  <c r="CZ64" i="15"/>
  <c r="DA64" i="15"/>
  <c r="DB64" i="15"/>
  <c r="DC64" i="15"/>
  <c r="DD64" i="15"/>
  <c r="DE64" i="15"/>
  <c r="DF64" i="15"/>
  <c r="DG64" i="15"/>
  <c r="DH64" i="15"/>
  <c r="DI64" i="15"/>
  <c r="DJ64" i="15"/>
  <c r="DK64" i="15"/>
  <c r="DL64" i="15"/>
  <c r="DN64" i="15"/>
  <c r="DO64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AA65" i="15"/>
  <c r="AB65" i="15"/>
  <c r="AC65" i="15"/>
  <c r="AD65" i="15"/>
  <c r="AE65" i="15"/>
  <c r="AF65" i="15"/>
  <c r="AG65" i="15"/>
  <c r="AH65" i="15"/>
  <c r="AI65" i="15"/>
  <c r="AJ65" i="15"/>
  <c r="AK65" i="15"/>
  <c r="AL65" i="15"/>
  <c r="AM65" i="15"/>
  <c r="AN65" i="15"/>
  <c r="AO65" i="15"/>
  <c r="AP65" i="15"/>
  <c r="AQ65" i="15"/>
  <c r="AR65" i="15"/>
  <c r="AS65" i="15"/>
  <c r="AT65" i="15"/>
  <c r="AU65" i="15"/>
  <c r="AV65" i="15"/>
  <c r="AW65" i="15"/>
  <c r="AX65" i="15"/>
  <c r="AY65" i="15"/>
  <c r="AZ65" i="15"/>
  <c r="BA65" i="15"/>
  <c r="BB65" i="15"/>
  <c r="BC65" i="15"/>
  <c r="BD65" i="15"/>
  <c r="BE65" i="15"/>
  <c r="BF65" i="15"/>
  <c r="BG65" i="15"/>
  <c r="BH65" i="15"/>
  <c r="BI65" i="15"/>
  <c r="BJ65" i="15"/>
  <c r="BK65" i="15"/>
  <c r="BL65" i="15"/>
  <c r="BM65" i="15"/>
  <c r="BN65" i="15"/>
  <c r="BO65" i="15"/>
  <c r="BP65" i="15"/>
  <c r="BQ65" i="15"/>
  <c r="BR65" i="15"/>
  <c r="BS65" i="15"/>
  <c r="BT65" i="15"/>
  <c r="BU65" i="15"/>
  <c r="BV65" i="15"/>
  <c r="BW65" i="15"/>
  <c r="BX65" i="15"/>
  <c r="BY65" i="15"/>
  <c r="BZ65" i="15"/>
  <c r="CA65" i="15"/>
  <c r="CB65" i="15"/>
  <c r="CC65" i="15"/>
  <c r="CD65" i="15"/>
  <c r="CE65" i="15"/>
  <c r="CF65" i="15"/>
  <c r="CG65" i="15"/>
  <c r="CH65" i="15"/>
  <c r="CI65" i="15"/>
  <c r="CJ65" i="15"/>
  <c r="CK65" i="15"/>
  <c r="CL65" i="15"/>
  <c r="CM65" i="15"/>
  <c r="CN65" i="15"/>
  <c r="CO65" i="15"/>
  <c r="CP65" i="15"/>
  <c r="CQ65" i="15"/>
  <c r="CR65" i="15"/>
  <c r="CS65" i="15"/>
  <c r="CT65" i="15"/>
  <c r="CU65" i="15"/>
  <c r="CV65" i="15"/>
  <c r="CW65" i="15"/>
  <c r="CX65" i="15"/>
  <c r="CY65" i="15"/>
  <c r="CZ65" i="15"/>
  <c r="DA65" i="15"/>
  <c r="DB65" i="15"/>
  <c r="DC65" i="15"/>
  <c r="DD65" i="15"/>
  <c r="DE65" i="15"/>
  <c r="DF65" i="15"/>
  <c r="DG65" i="15"/>
  <c r="DH65" i="15"/>
  <c r="DI65" i="15"/>
  <c r="DJ65" i="15"/>
  <c r="DK65" i="15"/>
  <c r="DL65" i="15"/>
  <c r="DN65" i="15"/>
  <c r="DO65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66" i="15"/>
  <c r="AC66" i="15"/>
  <c r="AD66" i="15"/>
  <c r="AE66" i="15"/>
  <c r="AF66" i="15"/>
  <c r="AG66" i="15"/>
  <c r="AH66" i="15"/>
  <c r="AI66" i="15"/>
  <c r="AJ66" i="15"/>
  <c r="AK66" i="15"/>
  <c r="AL66" i="15"/>
  <c r="AM66" i="15"/>
  <c r="AN66" i="15"/>
  <c r="AO66" i="15"/>
  <c r="AP66" i="15"/>
  <c r="AQ66" i="15"/>
  <c r="AR66" i="15"/>
  <c r="AS66" i="15"/>
  <c r="AT66" i="15"/>
  <c r="AU66" i="15"/>
  <c r="AV66" i="15"/>
  <c r="AW66" i="15"/>
  <c r="AX66" i="15"/>
  <c r="AY66" i="15"/>
  <c r="AZ66" i="15"/>
  <c r="BA66" i="15"/>
  <c r="BB66" i="15"/>
  <c r="BC66" i="15"/>
  <c r="BD66" i="15"/>
  <c r="BE66" i="15"/>
  <c r="BF66" i="15"/>
  <c r="BG66" i="15"/>
  <c r="BH66" i="15"/>
  <c r="BI66" i="15"/>
  <c r="BJ66" i="15"/>
  <c r="BK66" i="15"/>
  <c r="BL66" i="15"/>
  <c r="BM66" i="15"/>
  <c r="BN66" i="15"/>
  <c r="BO66" i="15"/>
  <c r="BP66" i="15"/>
  <c r="BQ66" i="15"/>
  <c r="BR66" i="15"/>
  <c r="BS66" i="15"/>
  <c r="BT66" i="15"/>
  <c r="BU66" i="15"/>
  <c r="BV66" i="15"/>
  <c r="BW66" i="15"/>
  <c r="BX66" i="15"/>
  <c r="BY66" i="15"/>
  <c r="BZ66" i="15"/>
  <c r="CA66" i="15"/>
  <c r="CB66" i="15"/>
  <c r="CC66" i="15"/>
  <c r="CD66" i="15"/>
  <c r="CE66" i="15"/>
  <c r="CF66" i="15"/>
  <c r="CG66" i="15"/>
  <c r="CH66" i="15"/>
  <c r="CI66" i="15"/>
  <c r="CJ66" i="15"/>
  <c r="CK66" i="15"/>
  <c r="CL66" i="15"/>
  <c r="CM66" i="15"/>
  <c r="CN66" i="15"/>
  <c r="CO66" i="15"/>
  <c r="CP66" i="15"/>
  <c r="CQ66" i="15"/>
  <c r="CR66" i="15"/>
  <c r="CS66" i="15"/>
  <c r="CT66" i="15"/>
  <c r="CU66" i="15"/>
  <c r="CV66" i="15"/>
  <c r="CW66" i="15"/>
  <c r="CX66" i="15"/>
  <c r="CY66" i="15"/>
  <c r="CZ66" i="15"/>
  <c r="DA66" i="15"/>
  <c r="DB66" i="15"/>
  <c r="DC66" i="15"/>
  <c r="DD66" i="15"/>
  <c r="DE66" i="15"/>
  <c r="DF66" i="15"/>
  <c r="DG66" i="15"/>
  <c r="DH66" i="15"/>
  <c r="DI66" i="15"/>
  <c r="DJ66" i="15"/>
  <c r="DK66" i="15"/>
  <c r="DL66" i="15"/>
  <c r="DN66" i="15"/>
  <c r="DO66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Y67" i="15"/>
  <c r="Z67" i="15"/>
  <c r="AA67" i="15"/>
  <c r="AB67" i="15"/>
  <c r="AC67" i="15"/>
  <c r="AD67" i="15"/>
  <c r="AE67" i="15"/>
  <c r="AF67" i="15"/>
  <c r="AG67" i="15"/>
  <c r="AH67" i="15"/>
  <c r="AI67" i="15"/>
  <c r="AJ67" i="15"/>
  <c r="AK67" i="15"/>
  <c r="AL67" i="15"/>
  <c r="AM67" i="15"/>
  <c r="AN67" i="15"/>
  <c r="AO67" i="15"/>
  <c r="AP67" i="15"/>
  <c r="AQ67" i="15"/>
  <c r="AR67" i="15"/>
  <c r="AS67" i="15"/>
  <c r="AT67" i="15"/>
  <c r="AU67" i="15"/>
  <c r="AV67" i="15"/>
  <c r="AW67" i="15"/>
  <c r="AX67" i="15"/>
  <c r="AY67" i="15"/>
  <c r="AZ67" i="15"/>
  <c r="BA67" i="15"/>
  <c r="BB67" i="15"/>
  <c r="BC67" i="15"/>
  <c r="BD67" i="15"/>
  <c r="BE67" i="15"/>
  <c r="BF67" i="15"/>
  <c r="BG67" i="15"/>
  <c r="BH67" i="15"/>
  <c r="BI67" i="15"/>
  <c r="BJ67" i="15"/>
  <c r="BK67" i="15"/>
  <c r="BL67" i="15"/>
  <c r="BM67" i="15"/>
  <c r="BN67" i="15"/>
  <c r="BO67" i="15"/>
  <c r="BP67" i="15"/>
  <c r="BQ67" i="15"/>
  <c r="BR67" i="15"/>
  <c r="BS67" i="15"/>
  <c r="BT67" i="15"/>
  <c r="BU67" i="15"/>
  <c r="BV67" i="15"/>
  <c r="BW67" i="15"/>
  <c r="BX67" i="15"/>
  <c r="BY67" i="15"/>
  <c r="BZ67" i="15"/>
  <c r="CA67" i="15"/>
  <c r="CB67" i="15"/>
  <c r="CC67" i="15"/>
  <c r="CD67" i="15"/>
  <c r="CE67" i="15"/>
  <c r="CF67" i="15"/>
  <c r="CG67" i="15"/>
  <c r="CH67" i="15"/>
  <c r="CI67" i="15"/>
  <c r="CJ67" i="15"/>
  <c r="CK67" i="15"/>
  <c r="CL67" i="15"/>
  <c r="CM67" i="15"/>
  <c r="CN67" i="15"/>
  <c r="CO67" i="15"/>
  <c r="CP67" i="15"/>
  <c r="CQ67" i="15"/>
  <c r="CR67" i="15"/>
  <c r="CS67" i="15"/>
  <c r="CT67" i="15"/>
  <c r="CU67" i="15"/>
  <c r="CV67" i="15"/>
  <c r="CW67" i="15"/>
  <c r="CX67" i="15"/>
  <c r="CY67" i="15"/>
  <c r="CZ67" i="15"/>
  <c r="DA67" i="15"/>
  <c r="DB67" i="15"/>
  <c r="DC67" i="15"/>
  <c r="DD67" i="15"/>
  <c r="DE67" i="15"/>
  <c r="DF67" i="15"/>
  <c r="DG67" i="15"/>
  <c r="DH67" i="15"/>
  <c r="DI67" i="15"/>
  <c r="DJ67" i="15"/>
  <c r="DK67" i="15"/>
  <c r="DL67" i="15"/>
  <c r="DN67" i="15"/>
  <c r="DO67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B68" i="15"/>
  <c r="AC68" i="15"/>
  <c r="AD68" i="15"/>
  <c r="AE68" i="15"/>
  <c r="AF68" i="15"/>
  <c r="AG68" i="15"/>
  <c r="AH68" i="15"/>
  <c r="AI68" i="15"/>
  <c r="AJ68" i="15"/>
  <c r="AK68" i="15"/>
  <c r="AL68" i="15"/>
  <c r="AM68" i="15"/>
  <c r="AN68" i="15"/>
  <c r="AO68" i="15"/>
  <c r="AP68" i="15"/>
  <c r="AQ68" i="15"/>
  <c r="AR68" i="15"/>
  <c r="AS68" i="15"/>
  <c r="AT68" i="15"/>
  <c r="AU68" i="15"/>
  <c r="AV68" i="15"/>
  <c r="AW68" i="15"/>
  <c r="AX68" i="15"/>
  <c r="AY68" i="15"/>
  <c r="AZ68" i="15"/>
  <c r="BA68" i="15"/>
  <c r="BB68" i="15"/>
  <c r="BC68" i="15"/>
  <c r="BD68" i="15"/>
  <c r="BE68" i="15"/>
  <c r="BF68" i="15"/>
  <c r="BG68" i="15"/>
  <c r="BH68" i="15"/>
  <c r="BI68" i="15"/>
  <c r="BJ68" i="15"/>
  <c r="BK68" i="15"/>
  <c r="BL68" i="15"/>
  <c r="BM68" i="15"/>
  <c r="BN68" i="15"/>
  <c r="BO68" i="15"/>
  <c r="BP68" i="15"/>
  <c r="BQ68" i="15"/>
  <c r="BR68" i="15"/>
  <c r="BS68" i="15"/>
  <c r="BT68" i="15"/>
  <c r="BU68" i="15"/>
  <c r="BV68" i="15"/>
  <c r="BW68" i="15"/>
  <c r="BX68" i="15"/>
  <c r="BY68" i="15"/>
  <c r="BZ68" i="15"/>
  <c r="CA68" i="15"/>
  <c r="CB68" i="15"/>
  <c r="CC68" i="15"/>
  <c r="CD68" i="15"/>
  <c r="CE68" i="15"/>
  <c r="CF68" i="15"/>
  <c r="CG68" i="15"/>
  <c r="CH68" i="15"/>
  <c r="CI68" i="15"/>
  <c r="CJ68" i="15"/>
  <c r="CK68" i="15"/>
  <c r="CL68" i="15"/>
  <c r="CM68" i="15"/>
  <c r="CN68" i="15"/>
  <c r="CO68" i="15"/>
  <c r="CP68" i="15"/>
  <c r="CQ68" i="15"/>
  <c r="CR68" i="15"/>
  <c r="CS68" i="15"/>
  <c r="CT68" i="15"/>
  <c r="CU68" i="15"/>
  <c r="CV68" i="15"/>
  <c r="CW68" i="15"/>
  <c r="CX68" i="15"/>
  <c r="CY68" i="15"/>
  <c r="CZ68" i="15"/>
  <c r="DA68" i="15"/>
  <c r="DB68" i="15"/>
  <c r="DC68" i="15"/>
  <c r="DD68" i="15"/>
  <c r="DE68" i="15"/>
  <c r="DF68" i="15"/>
  <c r="DG68" i="15"/>
  <c r="DH68" i="15"/>
  <c r="DI68" i="15"/>
  <c r="DJ68" i="15"/>
  <c r="DK68" i="15"/>
  <c r="DL68" i="15"/>
  <c r="DN68" i="15"/>
  <c r="DO68" i="15"/>
  <c r="DM7" i="15"/>
  <c r="DM8" i="15"/>
  <c r="DM70" i="15"/>
  <c r="DM6" i="15"/>
  <c r="DM4" i="15" l="1"/>
  <c r="CA6" i="15"/>
  <c r="CB6" i="15"/>
  <c r="CC6" i="15"/>
  <c r="CD6" i="15"/>
  <c r="CE6" i="15"/>
  <c r="CF6" i="15"/>
  <c r="CG6" i="15"/>
  <c r="CH6" i="15"/>
  <c r="CI6" i="15"/>
  <c r="CJ6" i="15"/>
  <c r="CK6" i="15"/>
  <c r="CL6" i="15"/>
  <c r="CM6" i="15"/>
  <c r="CN6" i="15"/>
  <c r="CO6" i="15"/>
  <c r="CP6" i="15"/>
  <c r="CQ6" i="15"/>
  <c r="CR6" i="15"/>
  <c r="CS6" i="15"/>
  <c r="CT6" i="15"/>
  <c r="CU6" i="15"/>
  <c r="CV6" i="15"/>
  <c r="CW6" i="15"/>
  <c r="CX6" i="15"/>
  <c r="CY6" i="15"/>
  <c r="CZ6" i="15"/>
  <c r="DA6" i="15"/>
  <c r="DB6" i="15"/>
  <c r="DC6" i="15"/>
  <c r="DD6" i="15"/>
  <c r="DE6" i="15"/>
  <c r="DF6" i="15"/>
  <c r="DG6" i="15"/>
  <c r="DH6" i="15"/>
  <c r="DI6" i="15"/>
  <c r="DJ6" i="15"/>
  <c r="DK6" i="15"/>
  <c r="DL6" i="15"/>
  <c r="DN6" i="15"/>
  <c r="DO6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CM7" i="15"/>
  <c r="CN7" i="15"/>
  <c r="CO7" i="15"/>
  <c r="CP7" i="15"/>
  <c r="CQ7" i="15"/>
  <c r="CR7" i="15"/>
  <c r="CS7" i="15"/>
  <c r="CT7" i="15"/>
  <c r="CU7" i="15"/>
  <c r="CV7" i="15"/>
  <c r="CW7" i="15"/>
  <c r="CX7" i="15"/>
  <c r="CY7" i="15"/>
  <c r="CZ7" i="15"/>
  <c r="DA7" i="15"/>
  <c r="DB7" i="15"/>
  <c r="DC7" i="15"/>
  <c r="DD7" i="15"/>
  <c r="DE7" i="15"/>
  <c r="DF7" i="15"/>
  <c r="DG7" i="15"/>
  <c r="DH7" i="15"/>
  <c r="DI7" i="15"/>
  <c r="DJ7" i="15"/>
  <c r="DK7" i="15"/>
  <c r="DL7" i="15"/>
  <c r="DN7" i="15"/>
  <c r="DO7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CM8" i="15"/>
  <c r="CN8" i="15"/>
  <c r="CO8" i="15"/>
  <c r="CP8" i="15"/>
  <c r="CQ8" i="15"/>
  <c r="CR8" i="15"/>
  <c r="CS8" i="15"/>
  <c r="CT8" i="15"/>
  <c r="CU8" i="15"/>
  <c r="CV8" i="15"/>
  <c r="CW8" i="15"/>
  <c r="CX8" i="15"/>
  <c r="CY8" i="15"/>
  <c r="CZ8" i="15"/>
  <c r="DA8" i="15"/>
  <c r="DB8" i="15"/>
  <c r="DC8" i="15"/>
  <c r="DD8" i="15"/>
  <c r="DE8" i="15"/>
  <c r="DF8" i="15"/>
  <c r="DG8" i="15"/>
  <c r="DH8" i="15"/>
  <c r="DI8" i="15"/>
  <c r="DJ8" i="15"/>
  <c r="DK8" i="15"/>
  <c r="DL8" i="15"/>
  <c r="DN8" i="15"/>
  <c r="DO8" i="15"/>
  <c r="CA69" i="15"/>
  <c r="CB69" i="15"/>
  <c r="CC69" i="15"/>
  <c r="CD69" i="15"/>
  <c r="CE69" i="15"/>
  <c r="CF69" i="15"/>
  <c r="CG69" i="15"/>
  <c r="CH69" i="15"/>
  <c r="CI69" i="15"/>
  <c r="CJ69" i="15"/>
  <c r="CK69" i="15"/>
  <c r="CL69" i="15"/>
  <c r="CM69" i="15"/>
  <c r="CN69" i="15"/>
  <c r="CO69" i="15"/>
  <c r="CP69" i="15"/>
  <c r="CQ69" i="15"/>
  <c r="CR69" i="15"/>
  <c r="CS69" i="15"/>
  <c r="CT69" i="15"/>
  <c r="CU69" i="15"/>
  <c r="CV69" i="15"/>
  <c r="CW69" i="15"/>
  <c r="CX69" i="15"/>
  <c r="CY69" i="15"/>
  <c r="CZ69" i="15"/>
  <c r="DA69" i="15"/>
  <c r="DB69" i="15"/>
  <c r="DC69" i="15"/>
  <c r="DD69" i="15"/>
  <c r="DE69" i="15"/>
  <c r="DF69" i="15"/>
  <c r="DG69" i="15"/>
  <c r="DH69" i="15"/>
  <c r="DI69" i="15"/>
  <c r="DJ69" i="15"/>
  <c r="DK69" i="15"/>
  <c r="DL69" i="15"/>
  <c r="DN69" i="15"/>
  <c r="DO69" i="15"/>
  <c r="CA70" i="15"/>
  <c r="CB70" i="15"/>
  <c r="CC70" i="15"/>
  <c r="CD70" i="15"/>
  <c r="CE70" i="15"/>
  <c r="CF70" i="15"/>
  <c r="CG70" i="15"/>
  <c r="CH70" i="15"/>
  <c r="CI70" i="15"/>
  <c r="CJ70" i="15"/>
  <c r="CK70" i="15"/>
  <c r="CL70" i="15"/>
  <c r="CM70" i="15"/>
  <c r="CN70" i="15"/>
  <c r="CO70" i="15"/>
  <c r="CP70" i="15"/>
  <c r="CQ70" i="15"/>
  <c r="CR70" i="15"/>
  <c r="CS70" i="15"/>
  <c r="CT70" i="15"/>
  <c r="CU70" i="15"/>
  <c r="CV70" i="15"/>
  <c r="CW70" i="15"/>
  <c r="CX70" i="15"/>
  <c r="CY70" i="15"/>
  <c r="CZ70" i="15"/>
  <c r="DA70" i="15"/>
  <c r="DB70" i="15"/>
  <c r="DC70" i="15"/>
  <c r="DD70" i="15"/>
  <c r="DE70" i="15"/>
  <c r="DF70" i="15"/>
  <c r="DG70" i="15"/>
  <c r="DH70" i="15"/>
  <c r="DI70" i="15"/>
  <c r="DJ70" i="15"/>
  <c r="DK70" i="15"/>
  <c r="DL70" i="15"/>
  <c r="DN70" i="15"/>
  <c r="DO70" i="15"/>
  <c r="BZ7" i="15"/>
  <c r="BZ8" i="15"/>
  <c r="BZ69" i="15"/>
  <c r="BZ70" i="15"/>
  <c r="BZ6" i="15"/>
  <c r="AT6" i="15"/>
  <c r="AU6" i="15"/>
  <c r="AV6" i="15"/>
  <c r="AW6" i="15"/>
  <c r="AX6" i="15"/>
  <c r="AY6" i="15"/>
  <c r="AZ6" i="15"/>
  <c r="BA6" i="15"/>
  <c r="BB6" i="15"/>
  <c r="BC6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BR6" i="15"/>
  <c r="BS6" i="15"/>
  <c r="BT6" i="15"/>
  <c r="BU6" i="15"/>
  <c r="BV6" i="15"/>
  <c r="BW6" i="15"/>
  <c r="BX6" i="15"/>
  <c r="BY6" i="15"/>
  <c r="AT7" i="15"/>
  <c r="AU7" i="15"/>
  <c r="AV7" i="15"/>
  <c r="AW7" i="15"/>
  <c r="AX7" i="15"/>
  <c r="AY7" i="15"/>
  <c r="AZ7" i="15"/>
  <c r="BA7" i="15"/>
  <c r="BB7" i="15"/>
  <c r="BC7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AT8" i="15"/>
  <c r="AU8" i="15"/>
  <c r="AV8" i="15"/>
  <c r="AW8" i="15"/>
  <c r="AX8" i="15"/>
  <c r="AY8" i="15"/>
  <c r="AZ8" i="15"/>
  <c r="BA8" i="15"/>
  <c r="BB8" i="15"/>
  <c r="BC8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BR8" i="15"/>
  <c r="BS8" i="15"/>
  <c r="BT8" i="15"/>
  <c r="BU8" i="15"/>
  <c r="BV8" i="15"/>
  <c r="BW8" i="15"/>
  <c r="BX8" i="15"/>
  <c r="BY8" i="15"/>
  <c r="AT69" i="15"/>
  <c r="AU69" i="15"/>
  <c r="AV69" i="15"/>
  <c r="AW69" i="15"/>
  <c r="AX69" i="15"/>
  <c r="AY69" i="15"/>
  <c r="AZ69" i="15"/>
  <c r="BA69" i="15"/>
  <c r="BB69" i="15"/>
  <c r="BC69" i="15"/>
  <c r="BD69" i="15"/>
  <c r="BE69" i="15"/>
  <c r="BF69" i="15"/>
  <c r="BG69" i="15"/>
  <c r="BH69" i="15"/>
  <c r="BI69" i="15"/>
  <c r="BJ69" i="15"/>
  <c r="BK69" i="15"/>
  <c r="BL69" i="15"/>
  <c r="BM69" i="15"/>
  <c r="BN69" i="15"/>
  <c r="BO69" i="15"/>
  <c r="BP69" i="15"/>
  <c r="BQ69" i="15"/>
  <c r="BR69" i="15"/>
  <c r="BS69" i="15"/>
  <c r="BT69" i="15"/>
  <c r="BU69" i="15"/>
  <c r="BV69" i="15"/>
  <c r="BW69" i="15"/>
  <c r="BX69" i="15"/>
  <c r="BY69" i="15"/>
  <c r="AT70" i="15"/>
  <c r="AU70" i="15"/>
  <c r="AV70" i="15"/>
  <c r="AW70" i="15"/>
  <c r="AX70" i="15"/>
  <c r="AY70" i="15"/>
  <c r="AZ70" i="15"/>
  <c r="BA70" i="15"/>
  <c r="BB70" i="15"/>
  <c r="BC70" i="15"/>
  <c r="BD70" i="15"/>
  <c r="BE70" i="15"/>
  <c r="BF70" i="15"/>
  <c r="BG70" i="15"/>
  <c r="BH70" i="15"/>
  <c r="BI70" i="15"/>
  <c r="BJ70" i="15"/>
  <c r="BK70" i="15"/>
  <c r="BL70" i="15"/>
  <c r="BM70" i="15"/>
  <c r="BN70" i="15"/>
  <c r="BO70" i="15"/>
  <c r="BP70" i="15"/>
  <c r="BQ70" i="15"/>
  <c r="BR70" i="15"/>
  <c r="BS70" i="15"/>
  <c r="BT70" i="15"/>
  <c r="BU70" i="15"/>
  <c r="BV70" i="15"/>
  <c r="BW70" i="15"/>
  <c r="BX70" i="15"/>
  <c r="BY70" i="15"/>
  <c r="BT4" i="15" l="1"/>
  <c r="DH4" i="15"/>
  <c r="CZ4" i="15"/>
  <c r="CB4" i="15"/>
  <c r="BJ4" i="15"/>
  <c r="CR4" i="15"/>
  <c r="CJ4" i="15"/>
  <c r="BY4" i="15"/>
  <c r="BI4" i="15"/>
  <c r="BZ4" i="15"/>
  <c r="CM4" i="15"/>
  <c r="CI4" i="15"/>
  <c r="AT4" i="15"/>
  <c r="BL4" i="15"/>
  <c r="BD4" i="15"/>
  <c r="AV4" i="15"/>
  <c r="DF4" i="15"/>
  <c r="CP4" i="15"/>
  <c r="BU4" i="15"/>
  <c r="BE4" i="15"/>
  <c r="BX4" i="15"/>
  <c r="BP4" i="15"/>
  <c r="BH4" i="15"/>
  <c r="AZ4" i="15"/>
  <c r="DO4" i="15"/>
  <c r="DJ4" i="15"/>
  <c r="DB4" i="15"/>
  <c r="CX4" i="15"/>
  <c r="CT4" i="15"/>
  <c r="CL4" i="15"/>
  <c r="CH4" i="15"/>
  <c r="CD4" i="15"/>
  <c r="BW4" i="15"/>
  <c r="BS4" i="15"/>
  <c r="BO4" i="15"/>
  <c r="BK4" i="15"/>
  <c r="BG4" i="15"/>
  <c r="BC4" i="15"/>
  <c r="AY4" i="15"/>
  <c r="AU4" i="15"/>
  <c r="DN4" i="15"/>
  <c r="DI4" i="15"/>
  <c r="DE4" i="15"/>
  <c r="DA4" i="15"/>
  <c r="CW4" i="15"/>
  <c r="CS4" i="15"/>
  <c r="CO4" i="15"/>
  <c r="CK4" i="15"/>
  <c r="CG4" i="15"/>
  <c r="CC4" i="15"/>
  <c r="BQ4" i="15"/>
  <c r="BM4" i="15"/>
  <c r="BA4" i="15"/>
  <c r="AW4" i="15"/>
  <c r="DK4" i="15"/>
  <c r="DG4" i="15"/>
  <c r="DC4" i="15"/>
  <c r="CY4" i="15"/>
  <c r="CU4" i="15"/>
  <c r="CQ4" i="15"/>
  <c r="CE4" i="15"/>
  <c r="CA4" i="15"/>
  <c r="BV4" i="15"/>
  <c r="BR4" i="15"/>
  <c r="BN4" i="15"/>
  <c r="BF4" i="15"/>
  <c r="BB4" i="15"/>
  <c r="AX4" i="15"/>
  <c r="DL4" i="15"/>
  <c r="DD4" i="15"/>
  <c r="CV4" i="15"/>
  <c r="CN4" i="15"/>
  <c r="CF4" i="15"/>
  <c r="K6" i="15"/>
  <c r="K7" i="15"/>
  <c r="K8" i="15"/>
  <c r="K69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AF6" i="15"/>
  <c r="AG6" i="15"/>
  <c r="AH6" i="15"/>
  <c r="AI6" i="15"/>
  <c r="AJ6" i="15"/>
  <c r="AK6" i="15"/>
  <c r="AL6" i="15"/>
  <c r="AM6" i="15"/>
  <c r="AN6" i="15"/>
  <c r="AO6" i="15"/>
  <c r="AP6" i="15"/>
  <c r="AQ6" i="15"/>
  <c r="AR6" i="15"/>
  <c r="AS6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AI7" i="15"/>
  <c r="AJ7" i="15"/>
  <c r="AK7" i="15"/>
  <c r="AL7" i="15"/>
  <c r="AM7" i="15"/>
  <c r="AN7" i="15"/>
  <c r="AO7" i="15"/>
  <c r="AP7" i="15"/>
  <c r="AQ7" i="15"/>
  <c r="AR7" i="15"/>
  <c r="AS7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AG8" i="15"/>
  <c r="AH8" i="15"/>
  <c r="AI8" i="15"/>
  <c r="AJ8" i="15"/>
  <c r="AK8" i="15"/>
  <c r="AL8" i="15"/>
  <c r="AM8" i="15"/>
  <c r="AN8" i="15"/>
  <c r="AO8" i="15"/>
  <c r="AP8" i="15"/>
  <c r="AQ8" i="15"/>
  <c r="AR8" i="15"/>
  <c r="AS8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Y69" i="15"/>
  <c r="Z69" i="15"/>
  <c r="AA69" i="15"/>
  <c r="AB69" i="15"/>
  <c r="AC69" i="15"/>
  <c r="AD69" i="15"/>
  <c r="AE69" i="15"/>
  <c r="AF69" i="15"/>
  <c r="AG69" i="15"/>
  <c r="AH69" i="15"/>
  <c r="AI69" i="15"/>
  <c r="AJ69" i="15"/>
  <c r="AK69" i="15"/>
  <c r="AL69" i="15"/>
  <c r="AM69" i="15"/>
  <c r="AN69" i="15"/>
  <c r="AO69" i="15"/>
  <c r="AP69" i="15"/>
  <c r="AQ69" i="15"/>
  <c r="AR69" i="15"/>
  <c r="AS69" i="15"/>
  <c r="B50" i="17"/>
  <c r="B1" i="17"/>
  <c r="AS70" i="15"/>
  <c r="AR70" i="15"/>
  <c r="AQ70" i="15"/>
  <c r="AP70" i="15"/>
  <c r="AO70" i="15"/>
  <c r="AN70" i="15"/>
  <c r="AM70" i="15"/>
  <c r="AL70" i="15"/>
  <c r="AK70" i="15"/>
  <c r="AJ70" i="15"/>
  <c r="AI70" i="15"/>
  <c r="AH70" i="15"/>
  <c r="AG70" i="15"/>
  <c r="AF70" i="15"/>
  <c r="AE70" i="15"/>
  <c r="AD70" i="15"/>
  <c r="AC70" i="15"/>
  <c r="AB70" i="15"/>
  <c r="AA70" i="15"/>
  <c r="Z70" i="15"/>
  <c r="Y70" i="15"/>
  <c r="X70" i="15"/>
  <c r="W70" i="15"/>
  <c r="V70" i="15"/>
  <c r="U70" i="15"/>
  <c r="T70" i="15"/>
  <c r="S70" i="15"/>
  <c r="R70" i="15"/>
  <c r="Q70" i="15"/>
  <c r="P70" i="15"/>
  <c r="O70" i="15"/>
  <c r="N70" i="15"/>
  <c r="M70" i="15"/>
  <c r="L70" i="15"/>
  <c r="K70" i="15"/>
  <c r="K4" i="15" l="1"/>
  <c r="AN4" i="15"/>
  <c r="AF4" i="15"/>
  <c r="L4" i="15"/>
  <c r="B6" i="17" s="1"/>
  <c r="AR4" i="15"/>
  <c r="B47" i="17" s="1"/>
  <c r="AB4" i="15"/>
  <c r="P4" i="15"/>
  <c r="AJ4" i="15"/>
  <c r="B33" i="17" s="1"/>
  <c r="X4" i="15"/>
  <c r="B22" i="17" s="1"/>
  <c r="T4" i="15"/>
  <c r="AQ4" i="15"/>
  <c r="AM4" i="15"/>
  <c r="AI4" i="15"/>
  <c r="B32" i="17" s="1"/>
  <c r="AE4" i="15"/>
  <c r="B28" i="17" s="1"/>
  <c r="AA4" i="15"/>
  <c r="W4" i="15"/>
  <c r="B21" i="17" s="1"/>
  <c r="S4" i="15"/>
  <c r="B13" i="17" s="1"/>
  <c r="O4" i="15"/>
  <c r="AP4" i="15"/>
  <c r="AL4" i="15"/>
  <c r="B35" i="17" s="1"/>
  <c r="AH4" i="15"/>
  <c r="AD4" i="15"/>
  <c r="B27" i="17" s="1"/>
  <c r="Z4" i="15"/>
  <c r="B24" i="17" s="1"/>
  <c r="V4" i="15"/>
  <c r="B16" i="17" s="1"/>
  <c r="R4" i="15"/>
  <c r="B12" i="17" s="1"/>
  <c r="N4" i="15"/>
  <c r="B8" i="17" s="1"/>
  <c r="AS4" i="15"/>
  <c r="B48" i="17" s="1"/>
  <c r="AO4" i="15"/>
  <c r="AK4" i="15"/>
  <c r="AG4" i="15"/>
  <c r="AC4" i="15"/>
  <c r="Y4" i="15"/>
  <c r="B23" i="17" s="1"/>
  <c r="U4" i="15"/>
  <c r="Q4" i="15"/>
  <c r="M4" i="15"/>
  <c r="B10" i="17"/>
  <c r="B14" i="17"/>
  <c r="B45" i="17"/>
  <c r="B29" i="17"/>
  <c r="B25" i="17"/>
  <c r="B41" i="17" l="1"/>
  <c r="B31" i="17"/>
  <c r="E38" i="17" s="1"/>
  <c r="B46" i="17"/>
  <c r="B36" i="17"/>
  <c r="B26" i="17"/>
  <c r="B15" i="17"/>
  <c r="B11" i="17"/>
  <c r="B9" i="17"/>
  <c r="B7" i="17"/>
  <c r="B5" i="17"/>
  <c r="X3" i="15"/>
  <c r="B30" i="17"/>
  <c r="G38" i="17" s="1"/>
  <c r="B34" i="17"/>
  <c r="B42" i="17"/>
  <c r="E18" i="17"/>
  <c r="F38" i="17" l="1"/>
  <c r="D38" i="17"/>
  <c r="G18" i="17"/>
  <c r="G50" i="17" s="1"/>
  <c r="G56" i="17" s="1"/>
  <c r="C18" i="17"/>
  <c r="D18" i="17"/>
  <c r="C38" i="17"/>
  <c r="F18" i="17"/>
  <c r="E50" i="17"/>
  <c r="E56" i="17" s="1"/>
  <c r="F50" i="17" l="1"/>
  <c r="F56" i="17" s="1"/>
  <c r="D50" i="17"/>
  <c r="D56" i="17" s="1"/>
  <c r="C50" i="17"/>
  <c r="C56" i="17" s="1"/>
  <c r="B53" i="17" l="1"/>
  <c r="C57" i="17" s="1"/>
  <c r="C53" i="17" l="1"/>
  <c r="E16" i="12" s="1"/>
</calcChain>
</file>

<file path=xl/comments1.xml><?xml version="1.0" encoding="utf-8"?>
<comments xmlns="http://schemas.openxmlformats.org/spreadsheetml/2006/main">
  <authors>
    <author>Genevee Chiu</author>
    <author>Soon, Cliff A (CTR)</author>
  </authors>
  <commentList>
    <comment ref="C5" authorId="0">
      <text>
        <r>
          <rPr>
            <sz val="9"/>
            <rFont val="Tahoma"/>
            <family val="2"/>
          </rPr>
          <t>If failure found, set Test Result to NC</t>
        </r>
      </text>
    </comment>
    <comment ref="I5" authorId="0">
      <text>
        <r>
          <rPr>
            <b/>
            <sz val="9"/>
            <rFont val="Tahoma"/>
            <family val="2"/>
          </rPr>
          <t>Add row: Ctrl+d
Delete row: Ctrl+e</t>
        </r>
        <r>
          <rPr>
            <sz val="9"/>
            <rFont val="Tahoma"/>
            <family val="2"/>
          </rPr>
          <t xml:space="preserve">
</t>
        </r>
      </text>
    </comment>
    <comment ref="J5" authorId="0">
      <text>
        <r>
          <rPr>
            <b/>
            <sz val="9"/>
            <rFont val="Tahoma"/>
            <family val="2"/>
          </rPr>
          <t>Add image: Ctrl+I
Delete image: Ctrl+j</t>
        </r>
      </text>
    </comment>
    <comment ref="G72" authorId="1">
      <text>
        <r>
          <rPr>
            <b/>
            <sz val="9"/>
            <rFont val="Tahoma"/>
            <family val="2"/>
          </rPr>
          <t>Soon, Cliff A (CTR):</t>
        </r>
        <r>
          <rPr>
            <sz val="9"/>
            <rFont val="Tahoma"/>
            <family val="2"/>
          </rPr>
          <t xml:space="preserve">
Needed to stop loops!</t>
        </r>
      </text>
    </comment>
  </commentList>
</comments>
</file>

<file path=xl/comments2.xml><?xml version="1.0" encoding="utf-8"?>
<comments xmlns="http://schemas.openxmlformats.org/spreadsheetml/2006/main">
  <authors>
    <author>Genevee Chiu</author>
  </authors>
  <commentList>
    <comment ref="F27" authorId="0">
      <text>
        <r>
          <rPr>
            <b/>
            <sz val="9"/>
            <rFont val="Tahoma"/>
            <family val="2"/>
          </rPr>
          <t>Ctrl+w to view image</t>
        </r>
        <r>
          <rPr>
            <sz val="9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<sst xmlns="http://schemas.openxmlformats.org/spreadsheetml/2006/main" count="756" uniqueCount="369">
  <si>
    <t>Not Compliant</t>
  </si>
  <si>
    <t>Compliant</t>
  </si>
  <si>
    <t>Baseline Options</t>
  </si>
  <si>
    <t>--</t>
  </si>
  <si>
    <t>NA</t>
  </si>
  <si>
    <t>Results:</t>
  </si>
  <si>
    <t>Standards Options</t>
  </si>
  <si>
    <t>Web-only or SW only?</t>
  </si>
  <si>
    <t>WO</t>
  </si>
  <si>
    <t>Test IDs</t>
  </si>
  <si>
    <t>Section ID (for setting NA)</t>
  </si>
  <si>
    <t>Last</t>
  </si>
  <si>
    <t>C</t>
  </si>
  <si>
    <t>DNA</t>
  </si>
  <si>
    <t>Application Name:</t>
  </si>
  <si>
    <t>Section 508 Software, Web, Multimedia and Functional Performance Criteria Failures Impact Report</t>
  </si>
  <si>
    <r>
      <t xml:space="preserve">The results of testing for 508 Software and Web standards are shown below: </t>
    </r>
    <r>
      <rPr>
        <b/>
        <sz val="12"/>
        <rFont val="Arial"/>
        <family val="2"/>
      </rPr>
      <t>C=compliant, NC=not compliant, NA=not applicable</t>
    </r>
    <r>
      <rPr>
        <sz val="12"/>
        <rFont val="Arial"/>
        <family val="2"/>
      </rPr>
      <t>.  This table shows the impact of each 508 standard on specific disability groups.  (*Other includes color blindness, cognitive and seizure-related disabilities.)  The testing outcome is shown at the bottom of this page.</t>
    </r>
  </si>
  <si>
    <t>1194.21 Software Standards</t>
  </si>
  <si>
    <t>Test Results</t>
  </si>
  <si>
    <t>Blind</t>
  </si>
  <si>
    <t>Low Vision</t>
  </si>
  <si>
    <t>Deaf/ Hard of Hearing</t>
  </si>
  <si>
    <t>Mobility</t>
  </si>
  <si>
    <t>*Other</t>
  </si>
  <si>
    <t>a. Keyboard access</t>
  </si>
  <si>
    <t>x</t>
  </si>
  <si>
    <t xml:space="preserve">b. OS accessibility settings </t>
  </si>
  <si>
    <t>c. On screen focus</t>
  </si>
  <si>
    <t>d. Sufficient information for user interface elements</t>
  </si>
  <si>
    <t>e. Bit map image consistency</t>
  </si>
  <si>
    <t>f. Textual information through operating system functions</t>
  </si>
  <si>
    <t>g. User color and contrast settings</t>
  </si>
  <si>
    <t>h. Animation alternative</t>
  </si>
  <si>
    <t>i. Color dependency</t>
  </si>
  <si>
    <t>j. Color selection variety</t>
  </si>
  <si>
    <t>l. Label form fields</t>
  </si>
  <si>
    <r>
      <t xml:space="preserve">Disabilities Impacted by all 508 </t>
    </r>
    <r>
      <rPr>
        <b/>
        <sz val="12"/>
        <rFont val="Arial"/>
        <family val="2"/>
      </rPr>
      <t>Software</t>
    </r>
    <r>
      <rPr>
        <sz val="12"/>
        <rFont val="Arial"/>
        <family val="2"/>
      </rPr>
      <t xml:space="preserve"> Failures</t>
    </r>
  </si>
  <si>
    <t>1194.22 Web Standards</t>
  </si>
  <si>
    <t xml:space="preserve">a. Text equivalents </t>
  </si>
  <si>
    <t>b1. Synchronized captions</t>
  </si>
  <si>
    <t>b2. Synchronized audio description</t>
  </si>
  <si>
    <t>c. Color dependence</t>
  </si>
  <si>
    <t>d. Style sheet dependence</t>
  </si>
  <si>
    <t>e and f. Use of server side image maps</t>
  </si>
  <si>
    <t>g. Data tables: Identify row and column headers</t>
  </si>
  <si>
    <t>h. Complex data tables: Associate data cells to row and column headers</t>
  </si>
  <si>
    <t>i. Descriptive titles for frames.</t>
  </si>
  <si>
    <t>j. Flashing elements</t>
  </si>
  <si>
    <t>k. Equivalent text only page, only when necessary.</t>
  </si>
  <si>
    <t>l. Functional text for scripts</t>
  </si>
  <si>
    <t>m. Provide plugin links when required</t>
  </si>
  <si>
    <t>n. Label form fields</t>
  </si>
  <si>
    <t>o. Skip repetitive navigation links</t>
  </si>
  <si>
    <t>p. Timed response</t>
  </si>
  <si>
    <r>
      <t xml:space="preserve">Disabilities Impacted by all 508 </t>
    </r>
    <r>
      <rPr>
        <b/>
        <sz val="12"/>
        <rFont val="Arial"/>
        <family val="2"/>
      </rPr>
      <t>Web</t>
    </r>
    <r>
      <rPr>
        <sz val="12"/>
        <rFont val="Arial"/>
        <family val="2"/>
      </rPr>
      <t xml:space="preserve"> Failures</t>
    </r>
  </si>
  <si>
    <t>1194.24 Multimedia Standards</t>
  </si>
  <si>
    <t>c. Captions</t>
  </si>
  <si>
    <t>d. Audio Descriptions</t>
  </si>
  <si>
    <t>1194.31 Functional Performance Criteria Standards</t>
  </si>
  <si>
    <t>a. Use without vision</t>
  </si>
  <si>
    <t>b. Use with low vision</t>
  </si>
  <si>
    <t>c. Use  without hearing</t>
  </si>
  <si>
    <t>f. Use with physical limitations</t>
  </si>
  <si>
    <t>Disabilities Impacted by Software, Web  and FPC Provision Failures</t>
  </si>
  <si>
    <t>Testing Outcome</t>
  </si>
  <si>
    <t>Total Disabilities Impacted by 508 failures:</t>
  </si>
  <si>
    <t>(If 1 or more disabilities are unable to use this application due to 508 failures, this application is Not Compliant.)</t>
  </si>
  <si>
    <t>Review Date:</t>
  </si>
  <si>
    <t>Functions Tested:</t>
  </si>
  <si>
    <t>Application Description:</t>
  </si>
  <si>
    <t>Additional Comments:</t>
  </si>
  <si>
    <t>Application Version Tested:</t>
  </si>
  <si>
    <t>Test Results:</t>
  </si>
  <si>
    <t>Details</t>
  </si>
  <si>
    <t>Vendor:</t>
  </si>
  <si>
    <t>Test Environment</t>
  </si>
  <si>
    <t>Operating System:</t>
  </si>
  <si>
    <t>Browser:</t>
  </si>
  <si>
    <t>Agency Specific Test Approaches for DHS</t>
  </si>
  <si>
    <t>Defect #</t>
  </si>
  <si>
    <t>Screenshot (Ctrl-w)</t>
  </si>
  <si>
    <t>Compatibility View</t>
  </si>
  <si>
    <t>Disabled</t>
  </si>
  <si>
    <t>Enabled</t>
  </si>
  <si>
    <t>k. Flashing elements</t>
  </si>
  <si>
    <t>Disabilities Impacted:</t>
  </si>
  <si>
    <t>Results Worksheet</t>
  </si>
  <si>
    <t>Report Worksheet</t>
  </si>
  <si>
    <t>508 Impact Guide Worksheet</t>
  </si>
  <si>
    <t>This workbook is protected so that only certain cells are editable and certain operations are allowed. Unprotecting it may allow you to edit it in a way that produces invalid results.</t>
  </si>
  <si>
    <t>Toggle DNA</t>
  </si>
  <si>
    <t>Some sections have "Toggle DNA" buttons in the first column. These buttons switch between "DNA" and "--" for all rows in that section.</t>
  </si>
  <si>
    <t>Sets all software-only sections to DNA.</t>
  </si>
  <si>
    <t>Sets all web-only sections to DNA.</t>
  </si>
  <si>
    <r>
      <t xml:space="preserve">You should insert only one screenshot per row. To include more than one screenshot for the same failure condition, click </t>
    </r>
    <r>
      <rPr>
        <b/>
        <sz val="11"/>
        <color theme="1"/>
        <rFont val="Calibri"/>
        <family val="2"/>
        <scheme val="minor"/>
      </rPr>
      <t>Add Row (or Ctrl-d)</t>
    </r>
    <r>
      <rPr>
        <sz val="11"/>
        <color theme="1"/>
        <rFont val="Calibri"/>
        <family val="2"/>
        <scheme val="minor"/>
      </rPr>
      <t xml:space="preserve"> and insert a new screenshot in the new row.</t>
    </r>
  </si>
  <si>
    <r>
      <t xml:space="preserve">To delete a screenshot, select the cell that contains the screenshot and click </t>
    </r>
    <r>
      <rPr>
        <b/>
        <sz val="11"/>
        <color theme="1"/>
        <rFont val="Calibri"/>
        <family val="2"/>
        <scheme val="minor"/>
      </rPr>
      <t>Delete Image (or Ctrl-j)</t>
    </r>
    <r>
      <rPr>
        <sz val="11"/>
        <color theme="1"/>
        <rFont val="Calibri"/>
        <family val="2"/>
        <scheme val="minor"/>
      </rPr>
      <t>. (If you select the image object instead of the containing cell, you will get an error message.)</t>
    </r>
  </si>
  <si>
    <r>
      <t xml:space="preserve">To delete an added row, click </t>
    </r>
    <r>
      <rPr>
        <b/>
        <sz val="11"/>
        <color theme="1"/>
        <rFont val="Calibri"/>
        <family val="2"/>
        <scheme val="minor"/>
      </rPr>
      <t>Delete Row (or Ctrl-e)</t>
    </r>
    <r>
      <rPr>
        <sz val="11"/>
        <color theme="1"/>
        <rFont val="Calibri"/>
        <family val="2"/>
        <scheme val="minor"/>
      </rPr>
      <t>. This deletes the screenshot on that row as well.</t>
    </r>
  </si>
  <si>
    <t>Some worksheets, such as this one, have Grouping controls in the left margin. These allow you to expand or collapse certain sections for easier viewing, by clicking on the + or - icons or outlines.</t>
  </si>
  <si>
    <r>
      <t xml:space="preserve">Most of the following shortcuts should normally be used at the </t>
    </r>
    <r>
      <rPr>
        <b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of testing, as their effects are NOT undoable:</t>
    </r>
  </si>
  <si>
    <t>Clear All</t>
  </si>
  <si>
    <t>Clears all Test Results, Failure Details, and screenshots, and deletes added rows.</t>
  </si>
  <si>
    <t>This is where you enter testing results, which are later compiled into the Report worksheet. You should not add or delete rows manually; use the provided macros instead.</t>
  </si>
  <si>
    <t>This worksheet provides fields to enter information about the report (e.g. tester name, application name, etc.), and also compiles results from the Results worksheet.</t>
  </si>
  <si>
    <t>1.</t>
  </si>
  <si>
    <t>2.</t>
  </si>
  <si>
    <t>3.</t>
  </si>
  <si>
    <t>4.</t>
  </si>
  <si>
    <t>5.</t>
  </si>
  <si>
    <t>6.</t>
  </si>
  <si>
    <t>Enter the header information. (Disabilities Impacted is automatically calculated from the Impact Guide worksheet.)</t>
  </si>
  <si>
    <r>
      <t xml:space="preserve">To include a screenshot, select the associated cell in the </t>
    </r>
    <r>
      <rPr>
        <i/>
        <sz val="11"/>
        <color theme="1"/>
        <rFont val="Calibri"/>
        <family val="2"/>
        <scheme val="minor"/>
      </rPr>
      <t>Screenshots</t>
    </r>
    <r>
      <rPr>
        <sz val="11"/>
        <color theme="1"/>
        <rFont val="Calibri"/>
        <family val="2"/>
        <scheme val="minor"/>
      </rPr>
      <t xml:space="preserve"> column and click</t>
    </r>
    <r>
      <rPr>
        <b/>
        <sz val="11"/>
        <color theme="1"/>
        <rFont val="Calibri"/>
        <family val="2"/>
        <scheme val="minor"/>
      </rPr>
      <t xml:space="preserve"> Insert Image (or Ctrl-i)</t>
    </r>
    <r>
      <rPr>
        <sz val="11"/>
        <color theme="1"/>
        <rFont val="Calibri"/>
        <family val="2"/>
        <scheme val="minor"/>
      </rPr>
      <t>. Remember to crop screenshots judiciously, as they will be embedded in this workbook and add to its size.</t>
    </r>
  </si>
  <si>
    <r>
      <t xml:space="preserve">Click </t>
    </r>
    <r>
      <rPr>
        <b/>
        <sz val="11"/>
        <color theme="1"/>
        <rFont val="Calibri"/>
        <family val="2"/>
        <scheme val="minor"/>
      </rPr>
      <t>Generate Report</t>
    </r>
    <r>
      <rPr>
        <sz val="11"/>
        <color theme="1"/>
        <rFont val="Calibri"/>
        <family val="2"/>
        <scheme val="minor"/>
      </rPr>
      <t>. This compiles information from the Results worksheet.</t>
    </r>
  </si>
  <si>
    <r>
      <t xml:space="preserve">Screenshots from the Results worksheet will not be duplicated here but will be referenced in the </t>
    </r>
    <r>
      <rPr>
        <i/>
        <sz val="11"/>
        <color theme="1"/>
        <rFont val="Calibri"/>
        <family val="2"/>
        <scheme val="minor"/>
      </rPr>
      <t>Screenshot</t>
    </r>
    <r>
      <rPr>
        <sz val="11"/>
        <color theme="1"/>
        <rFont val="Calibri"/>
        <family val="2"/>
        <scheme val="minor"/>
      </rPr>
      <t xml:space="preserve"> column of this worksheet. To view a screenshot, select the desired cell in this column and press</t>
    </r>
    <r>
      <rPr>
        <b/>
        <sz val="11"/>
        <color theme="1"/>
        <rFont val="Calibri"/>
        <family val="2"/>
        <scheme val="minor"/>
      </rPr>
      <t xml:space="preserve"> Ctrl-w</t>
    </r>
    <r>
      <rPr>
        <sz val="11"/>
        <color theme="1"/>
        <rFont val="Calibri"/>
        <family val="2"/>
        <scheme val="minor"/>
      </rPr>
      <t>.</t>
    </r>
  </si>
  <si>
    <r>
      <t xml:space="preserve">The </t>
    </r>
    <r>
      <rPr>
        <i/>
        <sz val="11"/>
        <color theme="1"/>
        <rFont val="Calibri"/>
        <family val="2"/>
        <scheme val="minor"/>
      </rPr>
      <t>Section 508 Baseline Test Report Checklist</t>
    </r>
    <r>
      <rPr>
        <sz val="11"/>
        <color theme="1"/>
        <rFont val="Calibri"/>
        <family val="2"/>
        <scheme val="minor"/>
      </rPr>
      <t xml:space="preserve"> section is automatically calculated from the Results worksheet.</t>
    </r>
  </si>
  <si>
    <t>The header section may be collapsed using the Grouping controls in the left margin for easier viewing of the report section below.</t>
  </si>
  <si>
    <t>This worksheet calculates the impact of the observed failures. No user input is needed.</t>
  </si>
  <si>
    <t>Instructions</t>
  </si>
  <si>
    <t>Set SW-Only to DNA</t>
  </si>
  <si>
    <t>Set Web-Only to DNA</t>
  </si>
  <si>
    <t>Screenshots</t>
  </si>
  <si>
    <r>
      <t xml:space="preserve">Enter the failure details in the </t>
    </r>
    <r>
      <rPr>
        <i/>
        <sz val="11"/>
        <color theme="1"/>
        <rFont val="Calibri"/>
        <family val="2"/>
        <scheme val="minor"/>
      </rPr>
      <t>Failure Details</t>
    </r>
    <r>
      <rPr>
        <sz val="11"/>
        <color theme="1"/>
        <rFont val="Calibri"/>
        <family val="2"/>
        <scheme val="minor"/>
      </rPr>
      <t xml:space="preserve"> column. All tests marked NC must have failure details.</t>
    </r>
  </si>
  <si>
    <t>Trusted Tester ID #:</t>
  </si>
  <si>
    <t>A</t>
  </si>
  <si>
    <t>B</t>
  </si>
  <si>
    <t>D</t>
  </si>
  <si>
    <t>E</t>
  </si>
  <si>
    <t>F</t>
  </si>
  <si>
    <t>G</t>
  </si>
  <si>
    <t>H</t>
  </si>
  <si>
    <r>
      <t>To view an embedded screenshot (by double-clicking), unprotect the worksheet (</t>
    </r>
    <r>
      <rPr>
        <b/>
        <sz val="11"/>
        <color theme="1"/>
        <rFont val="Calibri"/>
        <family val="2"/>
        <scheme val="minor"/>
      </rPr>
      <t>Review &gt; Unprotect Sheet</t>
    </r>
    <r>
      <rPr>
        <sz val="11"/>
        <color theme="1"/>
        <rFont val="Calibri"/>
        <family val="2"/>
        <scheme val="minor"/>
      </rPr>
      <t>). This is also needed if you need to perform formatting operations (e.g. resizing rows, etc.).</t>
    </r>
  </si>
  <si>
    <t>URL (if web site):</t>
  </si>
  <si>
    <r>
      <t xml:space="preserve">Note: This review is a sampling of pages to confirm the component self-assessment as to their compliance with Section 508. The responsibility for full and complete testing and compliance remains with the owner of the application or website.
</t>
    </r>
    <r>
      <rPr>
        <sz val="11"/>
        <color theme="1"/>
        <rFont val="Calibri"/>
        <family val="2"/>
        <scheme val="minor"/>
      </rPr>
      <t xml:space="preserve">To view the report electronically:
1. Open the Report tab.
2. Page 1 contains application information.  To the right of Page 1 is standard test information that is part of our reports.
3. The compliance issues begin on Page 2.  Each issue is marked with a Defect #, a description of the issue, and may include a screenshot of the issue found.  To view the screenshot, select the cell with the screenshot address and press </t>
    </r>
    <r>
      <rPr>
        <b/>
        <sz val="11"/>
        <color theme="1"/>
        <rFont val="Calibri"/>
        <family val="2"/>
        <scheme val="minor"/>
      </rPr>
      <t>ctrl-w</t>
    </r>
    <r>
      <rPr>
        <sz val="11"/>
        <color theme="1"/>
        <rFont val="Calibri"/>
        <family val="2"/>
        <scheme val="minor"/>
      </rPr>
      <t xml:space="preserve">.  This will open the screenshot in a new window.
To print the report:
1. Open the Report tab.
2. Select File &gt; Print &gt; Print button.  
4. Screenshots can only be viewed electronically and will not be printed in the report.
</t>
    </r>
  </si>
  <si>
    <t>Failure Details (Provide Screen/Location)</t>
  </si>
  <si>
    <t>Version History</t>
  </si>
  <si>
    <t>Import old version?</t>
  </si>
  <si>
    <t>Internet Explorer 11</t>
  </si>
  <si>
    <t>Windows 10</t>
  </si>
  <si>
    <t>N/A</t>
  </si>
  <si>
    <t>Chrome</t>
  </si>
  <si>
    <t>Firefox</t>
  </si>
  <si>
    <t>Trusted Tester Name:</t>
  </si>
  <si>
    <t>Test Process Used:</t>
  </si>
  <si>
    <t>TT3</t>
  </si>
  <si>
    <t>TT4</t>
  </si>
  <si>
    <t>Yes</t>
  </si>
  <si>
    <t>No</t>
  </si>
  <si>
    <t>Unknown</t>
  </si>
  <si>
    <t>N/A (SW)</t>
  </si>
  <si>
    <t>Web app w/ Flash?</t>
  </si>
  <si>
    <t>Web app w/ Java?</t>
  </si>
  <si>
    <t>TT4 lists</t>
  </si>
  <si>
    <t>TT3 lists</t>
  </si>
  <si>
    <t>Browser Version:</t>
  </si>
  <si>
    <t>TT5</t>
  </si>
  <si>
    <t>OSX</t>
  </si>
  <si>
    <t>IE11</t>
  </si>
  <si>
    <t>Fail</t>
  </si>
  <si>
    <t>Pass</t>
  </si>
  <si>
    <t>5.0</t>
  </si>
  <si>
    <t>First draft</t>
  </si>
  <si>
    <r>
      <t>For each test, enter the test results in the</t>
    </r>
    <r>
      <rPr>
        <i/>
        <sz val="11"/>
        <color theme="1"/>
        <rFont val="Calibri"/>
        <family val="2"/>
        <scheme val="minor"/>
      </rPr>
      <t xml:space="preserve"> Test Results</t>
    </r>
    <r>
      <rPr>
        <sz val="11"/>
        <color theme="1"/>
        <rFont val="Calibri"/>
        <family val="2"/>
        <scheme val="minor"/>
      </rPr>
      <t xml:space="preserve"> column. Typing P, F, or D, should autofill with P (Pass), F (Fail) or DNA (Does Not Apply).</t>
    </r>
  </si>
  <si>
    <t>1 Alternate version</t>
  </si>
  <si>
    <t>CR1</t>
  </si>
  <si>
    <t>1.1.1</t>
  </si>
  <si>
    <t>1.2.1</t>
  </si>
  <si>
    <t>1.2.2</t>
  </si>
  <si>
    <t>1.2.3</t>
  </si>
  <si>
    <t>1.2.4</t>
  </si>
  <si>
    <t>1.2.5</t>
  </si>
  <si>
    <t>1.3.1</t>
  </si>
  <si>
    <t>1.3.2</t>
  </si>
  <si>
    <t>1.3.3</t>
  </si>
  <si>
    <t>1.4.1</t>
  </si>
  <si>
    <t>1.4.2</t>
  </si>
  <si>
    <t>1.4.3</t>
  </si>
  <si>
    <t>1.4.4</t>
  </si>
  <si>
    <t>1.4.5</t>
  </si>
  <si>
    <t>2.1.1</t>
  </si>
  <si>
    <t>2.1.2</t>
  </si>
  <si>
    <t>2.2.1</t>
  </si>
  <si>
    <t>2.2.2</t>
  </si>
  <si>
    <t>2.3.1</t>
  </si>
  <si>
    <t>2.4.1</t>
  </si>
  <si>
    <t>2.4.2</t>
  </si>
  <si>
    <t>2.4.3</t>
  </si>
  <si>
    <t>2.4.4</t>
  </si>
  <si>
    <t>2.4.5</t>
  </si>
  <si>
    <t>2.4.6</t>
  </si>
  <si>
    <t>2.4.7</t>
  </si>
  <si>
    <t>3.1.1</t>
  </si>
  <si>
    <t>3.1.2</t>
  </si>
  <si>
    <t>3.2.1</t>
  </si>
  <si>
    <t>3.2.2</t>
  </si>
  <si>
    <t>3.2.3</t>
  </si>
  <si>
    <t>3.2.4</t>
  </si>
  <si>
    <t>3.3.1</t>
  </si>
  <si>
    <t>3.3.2</t>
  </si>
  <si>
    <t>3.3.3</t>
  </si>
  <si>
    <t>3.3.4</t>
  </si>
  <si>
    <t>4.1.1</t>
  </si>
  <si>
    <t>4.1.2</t>
  </si>
  <si>
    <t>2 Autoplay/update</t>
  </si>
  <si>
    <t>3 Flashing</t>
  </si>
  <si>
    <t>Not Tested</t>
  </si>
  <si>
    <t>There is no keyboard trap.</t>
  </si>
  <si>
    <t>There is no accessible name and accessible description for a decorative image.</t>
  </si>
  <si>
    <t>Alternative forms of CAPTCHA are provided.</t>
  </si>
  <si>
    <t>Each interface component occurs in the same relative order with regard to other repeated interface components on each Web page where it appears.</t>
  </si>
  <si>
    <t>Each heading describes the topic or purpose of its content.</t>
  </si>
  <si>
    <t>Programmatic heading levels logically match the visual heading presentation within the heading structure.</t>
  </si>
  <si>
    <t>All visually apparent lists are programmatically identified according to their type.</t>
  </si>
  <si>
    <t>The &lt;title&gt; element identifies the contents or purpose of the Web page.</t>
  </si>
  <si>
    <t>The video-only content information is also available through an equivalent text or audio alternative.</t>
  </si>
  <si>
    <t>The multimedia provides accurate captions for the audio content.</t>
  </si>
  <si>
    <t>The multimedia provides an equivalent soundtrack (combination of narration and audio descriptions) for the video content.</t>
  </si>
  <si>
    <t>The live multimedia provides accurate captions for the audio content.</t>
  </si>
  <si>
    <t>Test name</t>
  </si>
  <si>
    <t>Alt-version-access</t>
  </si>
  <si>
    <t>Alt-version-equivalent</t>
  </si>
  <si>
    <t>Alt-version-conformant</t>
  </si>
  <si>
    <t>2.2.2-blinking-moving-scrolling</t>
  </si>
  <si>
    <t>2.2.2-auto-updating</t>
  </si>
  <si>
    <t>1.4.2-audio-control</t>
  </si>
  <si>
    <t>2.3.1-flash-rate-Web</t>
  </si>
  <si>
    <t>2.1.1-keyboard-access</t>
  </si>
  <si>
    <t>2.1.1-no-keystroke-timing</t>
  </si>
  <si>
    <t>2.1.2-no-keyboard-trap</t>
  </si>
  <si>
    <t>2.4.7-focus-visible</t>
  </si>
  <si>
    <t>3.2.1-on-focus</t>
  </si>
  <si>
    <t>2.4.3-focus-order-meaning</t>
  </si>
  <si>
    <t>2.4.3-focus-order-reveal</t>
  </si>
  <si>
    <t>2.4.3-focus-order-return</t>
  </si>
  <si>
    <t>3.3.2-input-instructions</t>
  </si>
  <si>
    <t>1.3.1-form-labels-cues</t>
  </si>
  <si>
    <t>3.2.2-on-input</t>
  </si>
  <si>
    <t>3.3.1-error-identification</t>
  </si>
  <si>
    <t>3.3.3-error-suggestion</t>
  </si>
  <si>
    <t>3.3.4-error-prevention</t>
  </si>
  <si>
    <t>2.4.4-link-purpose</t>
  </si>
  <si>
    <t>1.1.1-meaningful-image-name</t>
  </si>
  <si>
    <t>1.1.1-decorative-image</t>
  </si>
  <si>
    <t>1.1.1- font-icon</t>
  </si>
  <si>
    <t>1.1.1-captcha-alternative</t>
  </si>
  <si>
    <t>1.4.5-image-of-text</t>
  </si>
  <si>
    <t>2.2.1-timing-adjustable</t>
  </si>
  <si>
    <t>2.4.1-bypass-function</t>
  </si>
  <si>
    <t>3.2.4-consistent-identification</t>
  </si>
  <si>
    <t>2.4.6-heading-purpose</t>
  </si>
  <si>
    <t>1.3.1-heading-determinable</t>
  </si>
  <si>
    <t>1.3.1-heading-technique</t>
  </si>
  <si>
    <t>1.3.1-heading-level</t>
  </si>
  <si>
    <t>1.3.1-list-type</t>
  </si>
  <si>
    <t>3.1.1-page-language-defined</t>
  </si>
  <si>
    <t>3.1.2-part-language-defined</t>
  </si>
  <si>
    <t>2.4.2-one-page-title-defined</t>
  </si>
  <si>
    <t>2.4.2-page-title-purpose</t>
  </si>
  <si>
    <t>4.1.2-frame-title</t>
  </si>
  <si>
    <t>4.1.2-iframe-name</t>
  </si>
  <si>
    <t>1.4.1-color-meaning</t>
  </si>
  <si>
    <t>1.3.3-sensory-info</t>
  </si>
  <si>
    <t>1.4.3-contrast</t>
  </si>
  <si>
    <t>1.3.1-table-identification</t>
  </si>
  <si>
    <t xml:space="preserve">1.3.1-cell-header-association </t>
  </si>
  <si>
    <t>1.3.1-layout-table-structure</t>
  </si>
  <si>
    <t>1.3.1-meaningful-content-css-before-after</t>
  </si>
  <si>
    <t>1.2.1-audio-transcript-text</t>
  </si>
  <si>
    <t>1.2.1-audio-transcript-text-equivalent</t>
  </si>
  <si>
    <t>1.2.1-video- alternative-equivalent</t>
  </si>
  <si>
    <t>1.2.2-captions-equivalent</t>
  </si>
  <si>
    <t>1.2.5-audio-description-equivalent</t>
  </si>
  <si>
    <t>1.2.4-captions-live-equivalent</t>
  </si>
  <si>
    <t>503.4.1-caption-control</t>
  </si>
  <si>
    <t>2.4.5-multiple-ways</t>
  </si>
  <si>
    <r>
      <t>1.1.1-</t>
    </r>
    <r>
      <rPr>
        <b/>
        <sz val="10"/>
        <color rgb="FFFFFFFF"/>
        <rFont val="Arial Narrow"/>
        <family val="2"/>
      </rPr>
      <t xml:space="preserve"> </t>
    </r>
    <r>
      <rPr>
        <b/>
        <sz val="10"/>
        <color rgb="FF000000"/>
        <rFont val="Arial Narrow"/>
        <family val="2"/>
      </rPr>
      <t>decorative-background-image</t>
    </r>
  </si>
  <si>
    <t>4 Keyboard/focus</t>
  </si>
  <si>
    <t>5 Forms</t>
  </si>
  <si>
    <t>6 Links/buttons</t>
  </si>
  <si>
    <t>7 Images</t>
  </si>
  <si>
    <t>SC</t>
  </si>
  <si>
    <t>503.4.1</t>
  </si>
  <si>
    <t>Test Condition</t>
  </si>
  <si>
    <t>Test</t>
  </si>
  <si>
    <t>An alternate version passes all applicable Test Conditions.</t>
  </si>
  <si>
    <t>The accessible version is up to date with the same information and functionality.</t>
  </si>
  <si>
    <t>The accessible version can be reached via an accessible mechanism.</t>
  </si>
  <si>
    <t>The non-conforming version can only be reached from conforming content.</t>
  </si>
  <si>
    <t>Alt-version-nc-access</t>
  </si>
  <si>
    <t>The user can pause, stop, or hide moving, blinking, or scrolling content.</t>
  </si>
  <si>
    <t>The user can pause, stop, hide, or control the frequency of automatically updating content.</t>
  </si>
  <si>
    <t xml:space="preserve">The page provides notification of each automatic change in content. </t>
  </si>
  <si>
    <t xml:space="preserve">The user can pause, stop, or control the volume of audio content that plays automatically. </t>
  </si>
  <si>
    <t>4.1.2-change-notify-auto</t>
  </si>
  <si>
    <t>If NO flashing content is found, then this Test Condition DOES NOT APPLY (DNA). If flashing content IS found, then this test should be recorded as NOT TESTED.</t>
  </si>
  <si>
    <t xml:space="preserve">Individual keystrokes do not require specific timings for activation of functionality. </t>
  </si>
  <si>
    <t xml:space="preserve">A visible indication of focus is provided when focus is on the interface component. </t>
  </si>
  <si>
    <t xml:space="preserve">When an interface component receives focus, it does not initiate an unexpected change of context. </t>
  </si>
  <si>
    <t xml:space="preserve">The focus order preserves the meaning and operability of the Web page. </t>
  </si>
  <si>
    <t xml:space="preserve">Focus is moved to revealed content. </t>
  </si>
  <si>
    <t>4.1.2-change-notify-form</t>
  </si>
  <si>
    <t>The purpose of each link or button can be determined from any combination of the link/button text, accessible name, accessible description, and/or programmatically determined context.</t>
  </si>
  <si>
    <t>4.1.2-change-notify-links</t>
  </si>
  <si>
    <t xml:space="preserve">The accessible name and accessible description for a meaningful image provides an equivalent description of the image.  </t>
  </si>
  <si>
    <t>The background image is not the only means used to convey important information.</t>
  </si>
  <si>
    <t xml:space="preserve">The image of text cannot be replaced by text or is customizable. </t>
  </si>
  <si>
    <t>8 Adjustable time limits</t>
  </si>
  <si>
    <t>9 Repetitive Content</t>
  </si>
  <si>
    <t xml:space="preserve">The user can turn off, adjust, or extend the time limit. </t>
  </si>
  <si>
    <t xml:space="preserve">A keyboard-accessible method is provided to bypass repetitive content. </t>
  </si>
  <si>
    <t>The accessible name and description for identified content is consistent for each instance where they perform the same function.</t>
  </si>
  <si>
    <t>3.2.3-consistent- navigation</t>
  </si>
  <si>
    <t xml:space="preserve">Each programmatically determinable heading is a visual heading and each visual heading is programmatically determinable. </t>
  </si>
  <si>
    <t>10 Content Structure</t>
  </si>
  <si>
    <t>11 Language</t>
  </si>
  <si>
    <t xml:space="preserve">The default human language of each Web page can be programmatically determined. </t>
  </si>
  <si>
    <t>The human language for any content segment that differs from the default human language of the page can be programmatically determined.</t>
  </si>
  <si>
    <t>12 Page and Frame Titles</t>
  </si>
  <si>
    <t xml:space="preserve">Each &lt;frame&gt; has a title attribute that describes its content. </t>
  </si>
  <si>
    <t>The combination of accessible name and description for each focusable &lt;iframe&gt; describes its content.</t>
  </si>
  <si>
    <t>13 Sensory and Color</t>
  </si>
  <si>
    <t xml:space="preserve">Color is not used as the only visual means of conveying information, indicating an action, prompting a response, or distinguishing a visual element. </t>
  </si>
  <si>
    <t>Instructions provided for understanding and operating content do not rely solely on sensory characteristics of components, such as shape, size, visual location, orientation, or sound.</t>
  </si>
  <si>
    <t xml:space="preserve">The visual presentation of text and images of text have sufficient contrast. </t>
  </si>
  <si>
    <t>14 Tables</t>
  </si>
  <si>
    <t xml:space="preserve">Each data table has programmatic markup to identify it as a table. </t>
  </si>
  <si>
    <t xml:space="preserve">All data cells are programmatically associated with relevant headers. </t>
  </si>
  <si>
    <t>The layout table DOES NOT designate the layout table using ARIA role="table" AND DOES NOT include table header structure and relationship elements and/or associated attributes.</t>
  </si>
  <si>
    <t>15 CSS</t>
  </si>
  <si>
    <t>The reading order of the content (in context) is correct without CSS positioning.</t>
  </si>
  <si>
    <t>1.3.2-content-order-CSS-position</t>
  </si>
  <si>
    <t>1.3.2-content-meaning-CSS-position</t>
  </si>
  <si>
    <t>16 Audio/Video-Only</t>
  </si>
  <si>
    <t>17 Sync'd Media</t>
  </si>
  <si>
    <t>The media player provides user controls for closed captions and audio descriptions.</t>
  </si>
  <si>
    <t>503.4-caption-description-controls</t>
  </si>
  <si>
    <t>503.4.2-description-control</t>
  </si>
  <si>
    <t>18 Resize Text</t>
  </si>
  <si>
    <t>1.4.4-resize-text</t>
  </si>
  <si>
    <t>There is a mechanism to resize, scale, or zoom in on the text to at least 200% of its original size without loss of content or functionality.</t>
  </si>
  <si>
    <t>19 Multiple Ways</t>
  </si>
  <si>
    <t>503.4.2</t>
  </si>
  <si>
    <t>503.4-</t>
  </si>
  <si>
    <t>DHS specific test approach for Flashing (SC 2.3.1)</t>
  </si>
  <si>
    <t>As we do not have a reliable tool to test for flashing at this time:</t>
  </si>
  <si>
    <t>Test Condition Failed</t>
  </si>
  <si>
    <t>Y</t>
  </si>
  <si>
    <t>Version 5.0draft4</t>
  </si>
  <si>
    <t xml:space="preserve">Focus is returned to the logical sequence. </t>
  </si>
  <si>
    <t xml:space="preserve">The page provides notification of each change in content that is the result of interaction with a link or button. </t>
  </si>
  <si>
    <t>For the meaningful content provided via CSS pseudo-elements ::before and ::after, equivalent information is available in another way.</t>
  </si>
  <si>
    <t>A text-based alternative is provided for audio-only content that provides an accurate and complete representation of the audio-only content.</t>
  </si>
  <si>
    <t>User controls for captions are provided at the same menu level as the user controls for volume or program selection.</t>
  </si>
  <si>
    <t>User controls for audio descriptions are provided at the same menu level as the user controls for volume or program selection.</t>
  </si>
  <si>
    <t>There are two or more ways to locate a web page within a set of web pages.</t>
  </si>
  <si>
    <t>Content in the non-conforming version(s) meets Conformance Requirement 5.</t>
  </si>
  <si>
    <t>Non-interference</t>
  </si>
  <si>
    <t>20 Parsing</t>
  </si>
  <si>
    <t>Parsing requirement is not tested.</t>
  </si>
  <si>
    <t>Always "Not tested"</t>
  </si>
  <si>
    <t>Not tested</t>
  </si>
  <si>
    <t xml:space="preserve">Labels or instructions are provided for form elements. </t>
  </si>
  <si>
    <t xml:space="preserve">Each form label is sufficiently descriptive. </t>
  </si>
  <si>
    <t xml:space="preserve">The combination of the accessible name, accessible description, and other programmatic associations (e.g., table column and/or row associations) describes each input field and includes all relevant instructions and cues (textual and graphical). </t>
  </si>
  <si>
    <t xml:space="preserve">Changing field values/selections (e.g., entering data in a text field, changing a radio button selection) does NOT initiate an unexpected change of context. </t>
  </si>
  <si>
    <t xml:space="preserve">The page provides notification of each form-related change in content. </t>
  </si>
  <si>
    <t xml:space="preserve">The item in error is identified in text and sufficiently described to the user in text. </t>
  </si>
  <si>
    <t xml:space="preserve">Guidance (e.g., suggestion for corrected input) is provided about how to correct errors for form fields. </t>
  </si>
  <si>
    <t>The web page allows the user to check, reverse, and/or confirm submission.</t>
  </si>
  <si>
    <t>A &lt;title&gt; element is defined for the Web page.</t>
  </si>
  <si>
    <t xml:space="preserve">All functionality can be accessed and executed using only the keyboard.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</si>
</sst>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name val="Tahoma"/>
      <family val="2"/>
    </font>
    <font>
      <b/>
      <sz val="9"/>
      <name val="Tahoma"/>
      <family val="2"/>
    </font>
    <font>
      <sz val="11"/>
      <color theme="0" tint="-0.3499252296517838"/>
      <name val="Calibri"/>
      <family val="2"/>
      <scheme val="minor"/>
    </font>
    <font>
      <b/>
      <sz val="12"/>
      <name val="Arial"/>
      <family val="2"/>
    </font>
    <font>
      <b/>
      <u/>
      <sz val="12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Wingdings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 Narrow"/>
      <family val="2"/>
    </font>
    <font>
      <b/>
      <sz val="10"/>
      <color rgb="FFFFFFFF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9" tint="0.599932859279152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2065187536243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59993285927915285"/>
        <bgColor indexed="64"/>
      </patternFill>
    </fill>
    <fill>
      <patternFill patternType="solid">
        <fgColor theme="4" tint="0.599932859279152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8">
    <xf numFmtId="0" fontId="0" fillId="0" borderId="0">
      <alignment horizontal="left" vertical="top" wrapText="1"/>
    </xf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</cellStyleXfs>
  <cellXfs count="184"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Border="1" applyAlignment="1">
      <alignment horizontal="left" vertical="top" wrapText="1"/>
    </xf>
    <xf numFmtId="0" fontId="3" fillId="0" borderId="0" xfId="0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Font="1" applyAlignment="1">
      <alignment vertical="top"/>
    </xf>
    <xf numFmtId="0" fontId="0" fillId="0" borderId="0" xfId="0" quotePrefix="1" applyAlignment="1">
      <alignment vertical="top"/>
    </xf>
    <xf numFmtId="0" fontId="2" fillId="0" borderId="0" xfId="0" applyFont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0" fillId="0" borderId="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0" fillId="0" borderId="0" xfId="0" applyBorder="1" applyAlignment="1">
      <alignment vertical="top"/>
    </xf>
    <xf numFmtId="0" fontId="3" fillId="0" borderId="0" xfId="0" applyFont="1" applyBorder="1" applyAlignment="1">
      <alignment wrapText="1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0" xfId="0" applyBorder="1" applyAlignment="1">
      <alignment wrapText="1"/>
    </xf>
    <xf numFmtId="0" fontId="3" fillId="0" borderId="0" xfId="0" applyFont="1" applyFill="1" applyBorder="1" applyAlignment="1">
      <alignment vertical="top" wrapText="1"/>
    </xf>
    <xf numFmtId="0" fontId="8" fillId="0" borderId="0" xfId="0" applyFont="1" applyBorder="1" applyAlignment="1">
      <alignment horizontal="left" vertical="top" wrapText="1"/>
    </xf>
    <xf numFmtId="0" fontId="2" fillId="5" borderId="3" xfId="0" applyFont="1" applyFill="1" applyBorder="1" applyAlignment="1">
      <alignment vertical="top"/>
    </xf>
    <xf numFmtId="0" fontId="3" fillId="6" borderId="4" xfId="0" applyFont="1" applyFill="1" applyBorder="1" applyAlignment="1">
      <alignment vertical="top" wrapText="1"/>
    </xf>
    <xf numFmtId="0" fontId="3" fillId="0" borderId="4" xfId="0" applyFont="1" applyBorder="1" applyAlignment="1">
      <alignment vertical="top" wrapText="1"/>
    </xf>
    <xf numFmtId="0" fontId="1" fillId="0" borderId="0" xfId="7"/>
    <xf numFmtId="0" fontId="12" fillId="0" borderId="0" xfId="7" applyFont="1" applyAlignment="1" applyProtection="1">
      <alignment horizontal="left" vertical="top" wrapText="1"/>
    </xf>
    <xf numFmtId="0" fontId="9" fillId="0" borderId="5" xfId="7" applyFont="1" applyFill="1" applyBorder="1" applyAlignment="1" applyProtection="1">
      <alignment horizontal="left" vertical="top" wrapText="1"/>
      <protection hidden="1"/>
    </xf>
    <xf numFmtId="0" fontId="12" fillId="0" borderId="0" xfId="7" applyFont="1" applyAlignment="1">
      <alignment horizontal="left" vertical="top" wrapText="1"/>
    </xf>
    <xf numFmtId="0" fontId="0" fillId="0" borderId="0" xfId="0" applyAlignment="1">
      <alignment vertical="top" wrapText="1"/>
    </xf>
    <xf numFmtId="0" fontId="3" fillId="6" borderId="6" xfId="0" applyFont="1" applyFill="1" applyBorder="1" applyAlignment="1">
      <alignment vertical="top" wrapText="1"/>
    </xf>
    <xf numFmtId="0" fontId="13" fillId="7" borderId="7" xfId="0" applyFont="1" applyFill="1" applyBorder="1" applyAlignment="1">
      <alignment wrapText="1"/>
    </xf>
    <xf numFmtId="0" fontId="14" fillId="7" borderId="7" xfId="0" applyFont="1" applyFill="1" applyBorder="1" applyAlignment="1">
      <alignment wrapText="1"/>
    </xf>
    <xf numFmtId="0" fontId="15" fillId="7" borderId="7" xfId="0" applyFont="1" applyFill="1" applyBorder="1" applyAlignment="1">
      <alignment wrapText="1"/>
    </xf>
    <xf numFmtId="0" fontId="0" fillId="0" borderId="0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3" fillId="8" borderId="4" xfId="0" applyFont="1" applyFill="1" applyBorder="1" applyAlignment="1" applyProtection="1">
      <alignment vertical="top" wrapText="1"/>
      <protection locked="0"/>
    </xf>
    <xf numFmtId="0" fontId="3" fillId="0" borderId="4" xfId="0" applyFont="1" applyBorder="1" applyAlignment="1" applyProtection="1">
      <alignment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14" fontId="0" fillId="0" borderId="3" xfId="0" applyNumberFormat="1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0" fontId="9" fillId="9" borderId="3" xfId="7" applyFont="1" applyFill="1" applyBorder="1" applyAlignment="1" applyProtection="1">
      <alignment horizontal="center" vertical="top" wrapText="1"/>
      <protection hidden="1"/>
    </xf>
    <xf numFmtId="0" fontId="12" fillId="0" borderId="3" xfId="7" applyFont="1" applyBorder="1" applyAlignment="1" applyProtection="1">
      <alignment horizontal="left" vertical="top" wrapText="1"/>
      <protection hidden="1"/>
    </xf>
    <xf numFmtId="0" fontId="9" fillId="10" borderId="3" xfId="7" applyFont="1" applyFill="1" applyBorder="1" applyAlignment="1" applyProtection="1">
      <alignment horizontal="center" vertical="top" wrapText="1"/>
      <protection hidden="1"/>
    </xf>
    <xf numFmtId="0" fontId="9" fillId="10" borderId="5" xfId="7" applyFont="1" applyFill="1" applyBorder="1" applyAlignment="1" applyProtection="1">
      <alignment horizontal="center" vertical="top" wrapText="1"/>
      <protection hidden="1"/>
    </xf>
    <xf numFmtId="0" fontId="12" fillId="0" borderId="9" xfId="7" applyFont="1" applyBorder="1" applyAlignment="1" applyProtection="1">
      <alignment horizontal="left" vertical="top" wrapText="1"/>
      <protection hidden="1"/>
    </xf>
    <xf numFmtId="0" fontId="9" fillId="0" borderId="5" xfId="7" applyFont="1" applyFill="1" applyBorder="1" applyAlignment="1" applyProtection="1">
      <alignment horizontal="center" vertical="top" wrapText="1"/>
      <protection hidden="1"/>
    </xf>
    <xf numFmtId="0" fontId="9" fillId="0" borderId="3" xfId="7" applyFont="1" applyFill="1" applyBorder="1" applyAlignment="1" applyProtection="1">
      <alignment horizontal="center" vertical="top" wrapText="1"/>
      <protection hidden="1"/>
    </xf>
    <xf numFmtId="0" fontId="9" fillId="11" borderId="3" xfId="7" applyFont="1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vertical="top" wrapText="1"/>
    </xf>
    <xf numFmtId="0" fontId="9" fillId="0" borderId="3" xfId="7" applyFont="1" applyBorder="1" applyAlignment="1" applyProtection="1">
      <alignment horizontal="left" vertical="top" wrapText="1"/>
      <protection hidden="1"/>
    </xf>
    <xf numFmtId="0" fontId="4" fillId="0" borderId="10" xfId="0" applyFont="1" applyFill="1" applyBorder="1" applyAlignment="1">
      <alignment vertical="top" wrapText="1"/>
    </xf>
    <xf numFmtId="0" fontId="4" fillId="0" borderId="6" xfId="0" applyFont="1" applyFill="1" applyBorder="1" applyAlignment="1">
      <alignment vertical="top" wrapText="1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center" vertical="top"/>
    </xf>
    <xf numFmtId="0" fontId="18" fillId="0" borderId="0" xfId="0" applyFont="1" applyBorder="1" applyAlignment="1">
      <alignment vertical="top"/>
    </xf>
    <xf numFmtId="0" fontId="18" fillId="0" borderId="4" xfId="0" applyFont="1" applyBorder="1" applyAlignment="1">
      <alignment vertical="top"/>
    </xf>
    <xf numFmtId="0" fontId="18" fillId="0" borderId="0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0" fillId="0" borderId="0" xfId="0" applyAlignment="1" applyProtection="1">
      <alignment horizontal="left" vertical="top" wrapText="1"/>
    </xf>
    <xf numFmtId="0" fontId="0" fillId="13" borderId="0" xfId="0" applyFill="1" applyAlignment="1" applyProtection="1">
      <alignment vertical="top" wrapText="1"/>
    </xf>
    <xf numFmtId="0" fontId="2" fillId="0" borderId="0" xfId="0" applyFont="1" applyAlignment="1" applyProtection="1">
      <alignment horizontal="left" vertical="top" wrapText="1"/>
    </xf>
    <xf numFmtId="0" fontId="2" fillId="3" borderId="3" xfId="0" applyFont="1" applyFill="1" applyBorder="1" applyAlignment="1" applyProtection="1">
      <alignment vertical="top" wrapText="1"/>
    </xf>
    <xf numFmtId="0" fontId="0" fillId="0" borderId="11" xfId="0" applyBorder="1" applyAlignment="1" applyProtection="1">
      <alignment horizontal="left" vertical="top" wrapText="1"/>
    </xf>
    <xf numFmtId="0" fontId="2" fillId="3" borderId="3" xfId="0" applyFont="1" applyFill="1" applyBorder="1" applyAlignment="1" applyProtection="1">
      <alignment horizontal="left" vertical="top" wrapText="1"/>
    </xf>
    <xf numFmtId="0" fontId="2" fillId="0" borderId="0" xfId="0" applyFont="1" applyFill="1" applyBorder="1" applyAlignment="1" applyProtection="1">
      <alignment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2" fillId="0" borderId="12" xfId="0" applyFont="1" applyFill="1" applyBorder="1" applyAlignment="1" applyProtection="1">
      <alignment horizontal="right" vertical="top" wrapText="1"/>
    </xf>
    <xf numFmtId="0" fontId="0" fillId="0" borderId="12" xfId="0" applyBorder="1" applyAlignment="1" applyProtection="1">
      <alignment horizontal="left" vertical="top" wrapText="1"/>
    </xf>
    <xf numFmtId="0" fontId="19" fillId="0" borderId="0" xfId="0" applyFont="1" applyAlignment="1" applyProtection="1">
      <alignment horizontal="center" vertical="top" wrapText="1"/>
    </xf>
    <xf numFmtId="0" fontId="0" fillId="0" borderId="0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2" fillId="12" borderId="3" xfId="0" applyFont="1" applyFill="1" applyBorder="1" applyAlignment="1" applyProtection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vertical="top" wrapText="1"/>
    </xf>
    <xf numFmtId="49" fontId="0" fillId="2" borderId="0" xfId="0" applyNumberFormat="1" applyFill="1" applyBorder="1" applyAlignment="1">
      <alignment horizontal="left" vertical="top"/>
    </xf>
    <xf numFmtId="49" fontId="2" fillId="2" borderId="0" xfId="0" applyNumberFormat="1" applyFont="1" applyFill="1" applyBorder="1" applyAlignment="1">
      <alignment horizontal="left" vertical="top"/>
    </xf>
    <xf numFmtId="49" fontId="0" fillId="0" borderId="2" xfId="0" applyNumberFormat="1" applyBorder="1" applyAlignment="1">
      <alignment horizontal="left" vertical="top"/>
    </xf>
    <xf numFmtId="49" fontId="2" fillId="0" borderId="2" xfId="0" applyNumberFormat="1" applyFont="1" applyBorder="1" applyAlignment="1">
      <alignment horizontal="left" vertical="top"/>
    </xf>
    <xf numFmtId="49" fontId="0" fillId="0" borderId="2" xfId="0" applyNumberFormat="1" applyBorder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 wrapText="1"/>
    </xf>
    <xf numFmtId="0" fontId="2" fillId="0" borderId="0" xfId="0" applyFont="1" applyFill="1" applyBorder="1" applyAlignment="1" applyProtection="1">
      <alignment wrapText="1"/>
    </xf>
    <xf numFmtId="49" fontId="0" fillId="0" borderId="0" xfId="0" applyNumberFormat="1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49" fontId="2" fillId="0" borderId="0" xfId="0" applyNumberFormat="1" applyFont="1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49" fontId="0" fillId="3" borderId="0" xfId="0" applyNumberFormat="1" applyFill="1" applyBorder="1" applyAlignment="1">
      <alignment horizontal="left" vertical="top"/>
    </xf>
    <xf numFmtId="49" fontId="0" fillId="0" borderId="2" xfId="0" applyNumberFormat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9" fillId="0" borderId="0" xfId="7" applyFont="1" applyAlignment="1" applyProtection="1">
      <alignment horizontal="left" vertical="top" wrapText="1"/>
    </xf>
    <xf numFmtId="0" fontId="9" fillId="14" borderId="3" xfId="7" applyFont="1" applyFill="1" applyBorder="1" applyAlignment="1" applyProtection="1">
      <alignment horizontal="left" vertical="top" wrapText="1"/>
    </xf>
    <xf numFmtId="0" fontId="12" fillId="0" borderId="3" xfId="7" applyFont="1" applyBorder="1" applyAlignment="1" applyProtection="1">
      <alignment horizontal="left" vertical="top" wrapText="1"/>
    </xf>
    <xf numFmtId="0" fontId="12" fillId="0" borderId="3" xfId="7" applyFont="1" applyBorder="1" applyAlignment="1" applyProtection="1">
      <alignment horizontal="center" vertical="top" wrapText="1"/>
    </xf>
    <xf numFmtId="0" fontId="9" fillId="0" borderId="3" xfId="7" applyFont="1" applyBorder="1" applyAlignment="1" applyProtection="1">
      <alignment horizontal="left" vertical="top" wrapText="1"/>
    </xf>
    <xf numFmtId="0" fontId="12" fillId="0" borderId="5" xfId="7" applyFont="1" applyBorder="1" applyAlignment="1" applyProtection="1">
      <alignment horizontal="center" vertical="top" wrapText="1"/>
    </xf>
    <xf numFmtId="0" fontId="1" fillId="0" borderId="18" xfId="7" applyFont="1" applyBorder="1" applyAlignment="1" applyProtection="1">
      <alignment horizontal="right" vertical="top" wrapText="1"/>
    </xf>
    <xf numFmtId="0" fontId="1" fillId="0" borderId="12" xfId="7" applyFont="1" applyBorder="1" applyAlignment="1" applyProtection="1">
      <alignment horizontal="right" vertical="top" wrapText="1"/>
    </xf>
    <xf numFmtId="0" fontId="1" fillId="0" borderId="8" xfId="7" applyFont="1" applyBorder="1" applyAlignment="1" applyProtection="1">
      <alignment horizontal="right" vertical="top" wrapText="1"/>
    </xf>
    <xf numFmtId="0" fontId="9" fillId="0" borderId="9" xfId="7" applyFont="1" applyBorder="1" applyAlignment="1" applyProtection="1">
      <alignment horizontal="left" vertical="top" wrapText="1"/>
    </xf>
    <xf numFmtId="0" fontId="12" fillId="0" borderId="0" xfId="7" applyFont="1" applyBorder="1" applyAlignment="1" applyProtection="1">
      <alignment horizontal="left" vertical="top" wrapText="1"/>
    </xf>
    <xf numFmtId="0" fontId="9" fillId="0" borderId="0" xfId="7" applyFont="1" applyBorder="1" applyAlignment="1" applyProtection="1">
      <alignment horizontal="left" vertical="top" wrapText="1"/>
    </xf>
    <xf numFmtId="0" fontId="9" fillId="0" borderId="3" xfId="7" applyFont="1" applyFill="1" applyBorder="1" applyAlignment="1" applyProtection="1">
      <alignment wrapText="1"/>
    </xf>
    <xf numFmtId="0" fontId="12" fillId="0" borderId="18" xfId="7" applyFont="1" applyBorder="1" applyAlignment="1" applyProtection="1">
      <alignment horizontal="left" vertical="top" wrapText="1"/>
    </xf>
    <xf numFmtId="0" fontId="12" fillId="0" borderId="12" xfId="7" applyFont="1" applyBorder="1" applyAlignment="1" applyProtection="1">
      <alignment horizontal="left" vertical="top" wrapText="1"/>
    </xf>
    <xf numFmtId="0" fontId="12" fillId="0" borderId="8" xfId="7" applyFont="1" applyBorder="1" applyAlignment="1" applyProtection="1">
      <alignment horizontal="left" vertical="top" wrapText="1"/>
    </xf>
    <xf numFmtId="0" fontId="18" fillId="0" borderId="18" xfId="0" applyFont="1" applyBorder="1" applyAlignment="1">
      <alignment vertical="top"/>
    </xf>
    <xf numFmtId="0" fontId="18" fillId="0" borderId="8" xfId="0" applyFont="1" applyBorder="1" applyAlignment="1">
      <alignment vertical="top"/>
    </xf>
    <xf numFmtId="14" fontId="3" fillId="0" borderId="0" xfId="0" applyNumberFormat="1" applyFont="1" applyAlignment="1">
      <alignment horizontal="right" vertical="top" wrapText="1"/>
    </xf>
    <xf numFmtId="14" fontId="23" fillId="0" borderId="4" xfId="6" applyNumberFormat="1" applyFont="1" applyBorder="1" applyAlignment="1" applyProtection="1">
      <alignment horizontal="right" vertical="top" wrapText="1"/>
      <protection locked="0"/>
    </xf>
    <xf numFmtId="14" fontId="3" fillId="0" borderId="0" xfId="0" applyNumberFormat="1" applyFont="1" applyAlignment="1" applyProtection="1">
      <alignment horizontal="right" vertical="top" wrapText="1"/>
      <protection locked="0"/>
    </xf>
    <xf numFmtId="14" fontId="3" fillId="0" borderId="4" xfId="0" applyNumberFormat="1" applyFont="1" applyBorder="1" applyAlignment="1" applyProtection="1">
      <alignment horizontal="right" vertical="top" wrapText="1"/>
      <protection locked="0"/>
    </xf>
    <xf numFmtId="0" fontId="0" fillId="0" borderId="0" xfId="0" quotePrefix="1" applyAlignment="1">
      <alignment horizontal="left" vertical="top" wrapText="1"/>
    </xf>
    <xf numFmtId="49" fontId="0" fillId="0" borderId="3" xfId="0" applyNumberFormat="1" applyBorder="1" applyAlignment="1" applyProtection="1">
      <alignment horizontal="left" vertical="top" wrapText="1"/>
      <protection locked="0"/>
    </xf>
    <xf numFmtId="49" fontId="0" fillId="2" borderId="0" xfId="0" applyNumberFormat="1" applyFill="1" applyBorder="1" applyAlignment="1">
      <alignment horizontal="left" vertical="top"/>
    </xf>
    <xf numFmtId="0" fontId="3" fillId="0" borderId="0" xfId="0" applyFont="1" applyAlignment="1">
      <alignment wrapText="1"/>
    </xf>
    <xf numFmtId="14" fontId="0" fillId="0" borderId="0" xfId="0" applyNumberFormat="1" applyBorder="1" applyAlignment="1">
      <alignment horizontal="center" vertical="top" wrapText="1"/>
    </xf>
    <xf numFmtId="49" fontId="0" fillId="0" borderId="0" xfId="0" applyNumberFormat="1" applyBorder="1" applyAlignment="1">
      <alignment horizontal="left" vertical="top" wrapText="1"/>
    </xf>
    <xf numFmtId="14" fontId="0" fillId="0" borderId="0" xfId="0" applyNumberFormat="1" applyAlignment="1">
      <alignment horizontal="center" vertical="top" wrapText="1"/>
    </xf>
    <xf numFmtId="0" fontId="2" fillId="0" borderId="11" xfId="0" applyFont="1" applyBorder="1" applyAlignment="1" applyProtection="1">
      <alignment vertical="top" wrapText="1"/>
    </xf>
    <xf numFmtId="0" fontId="2" fillId="0" borderId="0" xfId="0" applyFont="1" applyBorder="1" applyAlignment="1" applyProtection="1">
      <alignment vertical="top" wrapText="1"/>
    </xf>
    <xf numFmtId="0" fontId="2" fillId="0" borderId="15" xfId="0" applyFont="1" applyBorder="1" applyAlignment="1" applyProtection="1">
      <alignment vertical="top" wrapText="1"/>
    </xf>
    <xf numFmtId="0" fontId="24" fillId="0" borderId="0" xfId="0" applyFont="1" applyAlignment="1">
      <alignment vertical="top" wrapText="1"/>
    </xf>
    <xf numFmtId="0" fontId="27" fillId="0" borderId="6" xfId="0" applyFont="1" applyFill="1" applyBorder="1" applyAlignment="1">
      <alignment vertical="top" wrapText="1"/>
    </xf>
    <xf numFmtId="0" fontId="28" fillId="0" borderId="0" xfId="0" applyFont="1" applyBorder="1" applyAlignment="1">
      <alignment wrapText="1"/>
    </xf>
    <xf numFmtId="0" fontId="3" fillId="6" borderId="4" xfId="0" applyFont="1" applyFill="1" applyBorder="1" applyAlignment="1">
      <alignment vertical="top" textRotation="90" wrapText="1"/>
    </xf>
    <xf numFmtId="0" fontId="3" fillId="0" borderId="4" xfId="0" applyFont="1" applyBorder="1" applyAlignment="1">
      <alignment vertical="top" textRotation="90" wrapText="1"/>
    </xf>
    <xf numFmtId="0" fontId="3" fillId="6" borderId="4" xfId="0" applyFont="1" applyFill="1" applyBorder="1" applyAlignment="1">
      <alignment horizontal="left" vertical="top" wrapText="1"/>
    </xf>
    <xf numFmtId="0" fontId="24" fillId="0" borderId="20" xfId="0" applyFont="1" applyBorder="1" applyAlignment="1">
      <alignment vertical="top" textRotation="90" wrapText="1"/>
    </xf>
    <xf numFmtId="0" fontId="24" fillId="0" borderId="21" xfId="0" applyFont="1" applyBorder="1" applyAlignment="1">
      <alignment vertical="top" textRotation="90" wrapText="1"/>
    </xf>
    <xf numFmtId="0" fontId="16" fillId="0" borderId="0" xfId="0" applyFont="1" applyAlignment="1" applyProtection="1">
      <alignment vertical="top" wrapText="1"/>
    </xf>
    <xf numFmtId="0" fontId="0" fillId="0" borderId="16" xfId="0" applyBorder="1" applyAlignment="1" applyProtection="1">
      <alignment vertical="top" wrapText="1"/>
    </xf>
    <xf numFmtId="0" fontId="0" fillId="0" borderId="2" xfId="0" applyBorder="1" applyAlignment="1" applyProtection="1">
      <alignment vertical="top" wrapText="1"/>
    </xf>
    <xf numFmtId="0" fontId="0" fillId="0" borderId="17" xfId="0" applyBorder="1" applyAlignment="1" applyProtection="1">
      <alignment vertical="top" wrapText="1"/>
    </xf>
    <xf numFmtId="0" fontId="16" fillId="0" borderId="11" xfId="0" applyFont="1" applyBorder="1" applyAlignment="1" applyProtection="1">
      <alignment vertical="top" wrapText="1"/>
    </xf>
    <xf numFmtId="0" fontId="0" fillId="0" borderId="21" xfId="0" applyFont="1" applyBorder="1" applyAlignment="1">
      <alignment vertical="top" wrapText="1"/>
    </xf>
    <xf numFmtId="0" fontId="3" fillId="16" borderId="4" xfId="0" applyFont="1" applyFill="1" applyBorder="1" applyAlignment="1">
      <alignment vertical="top" wrapText="1"/>
    </xf>
    <xf numFmtId="0" fontId="0" fillId="0" borderId="0" xfId="0" applyAlignment="1"/>
    <xf numFmtId="49" fontId="21" fillId="2" borderId="0" xfId="0" applyNumberFormat="1" applyFont="1" applyFill="1" applyBorder="1" applyAlignment="1">
      <alignment horizontal="left" vertical="top"/>
    </xf>
    <xf numFmtId="49" fontId="0" fillId="0" borderId="0" xfId="0" applyNumberFormat="1" applyFill="1" applyBorder="1" applyAlignment="1">
      <alignment horizontal="left" vertical="top" wrapText="1"/>
    </xf>
    <xf numFmtId="49" fontId="0" fillId="2" borderId="0" xfId="0" applyNumberFormat="1" applyFill="1" applyBorder="1" applyAlignment="1">
      <alignment horizontal="left" vertical="top" wrapText="1"/>
    </xf>
    <xf numFmtId="49" fontId="0" fillId="2" borderId="0" xfId="0" applyNumberFormat="1" applyFill="1" applyBorder="1" applyAlignment="1">
      <alignment horizontal="left" vertical="top"/>
    </xf>
    <xf numFmtId="0" fontId="22" fillId="0" borderId="0" xfId="0" applyFont="1" applyAlignment="1">
      <alignment horizontal="left"/>
    </xf>
    <xf numFmtId="49" fontId="0" fillId="3" borderId="0" xfId="0" applyNumberFormat="1" applyFill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49" fontId="0" fillId="0" borderId="2" xfId="0" applyNumberFormat="1" applyBorder="1" applyAlignment="1">
      <alignment horizontal="center" vertical="top" wrapText="1"/>
    </xf>
    <xf numFmtId="49" fontId="0" fillId="0" borderId="0" xfId="0" applyNumberFormat="1" applyBorder="1" applyAlignment="1">
      <alignment horizontal="center" vertical="top" wrapText="1"/>
    </xf>
    <xf numFmtId="49" fontId="21" fillId="3" borderId="0" xfId="0" applyNumberFormat="1" applyFont="1" applyFill="1" applyBorder="1" applyAlignment="1">
      <alignment horizontal="left" vertical="top"/>
    </xf>
    <xf numFmtId="49" fontId="0" fillId="0" borderId="0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0" xfId="0" applyAlignment="1">
      <alignment horizontal="center" vertical="top"/>
    </xf>
    <xf numFmtId="49" fontId="21" fillId="4" borderId="0" xfId="0" applyNumberFormat="1" applyFont="1" applyFill="1" applyBorder="1" applyAlignment="1">
      <alignment horizontal="left" vertical="top"/>
    </xf>
    <xf numFmtId="0" fontId="2" fillId="0" borderId="18" xfId="0" applyFont="1" applyFill="1" applyBorder="1" applyAlignment="1" applyProtection="1">
      <alignment vertical="top" wrapText="1"/>
    </xf>
    <xf numFmtId="0" fontId="2" fillId="0" borderId="8" xfId="0" applyFont="1" applyFill="1" applyBorder="1" applyAlignment="1" applyProtection="1">
      <alignment vertical="top" wrapText="1"/>
    </xf>
    <xf numFmtId="0" fontId="17" fillId="12" borderId="0" xfId="0" applyFont="1" applyFill="1" applyAlignment="1" applyProtection="1">
      <alignment horizontal="center" vertical="top" wrapText="1"/>
    </xf>
    <xf numFmtId="0" fontId="16" fillId="0" borderId="0" xfId="0" applyFont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5" xfId="0" applyBorder="1" applyAlignment="1" applyProtection="1">
      <alignment vertical="top" wrapText="1"/>
    </xf>
    <xf numFmtId="0" fontId="2" fillId="0" borderId="13" xfId="0" applyFont="1" applyBorder="1" applyAlignment="1" applyProtection="1">
      <alignment vertical="top" wrapText="1"/>
    </xf>
    <xf numFmtId="0" fontId="2" fillId="0" borderId="1" xfId="0" applyFont="1" applyBorder="1" applyAlignment="1" applyProtection="1">
      <alignment vertical="top" wrapText="1"/>
    </xf>
    <xf numFmtId="0" fontId="2" fillId="0" borderId="14" xfId="0" applyFont="1" applyBorder="1" applyAlignment="1" applyProtection="1">
      <alignment vertical="top" wrapText="1"/>
    </xf>
    <xf numFmtId="0" fontId="2" fillId="0" borderId="0" xfId="0" applyFont="1" applyAlignment="1" applyProtection="1">
      <alignment vertical="top" wrapText="1"/>
    </xf>
    <xf numFmtId="0" fontId="16" fillId="0" borderId="0" xfId="0" applyFont="1" applyBorder="1" applyAlignment="1" applyProtection="1">
      <alignment horizontal="left" vertical="top" wrapText="1"/>
    </xf>
    <xf numFmtId="0" fontId="16" fillId="0" borderId="15" xfId="0" applyFont="1" applyBorder="1" applyAlignment="1" applyProtection="1">
      <alignment horizontal="left" vertical="top" wrapText="1"/>
    </xf>
    <xf numFmtId="0" fontId="9" fillId="0" borderId="3" xfId="7" applyFont="1" applyBorder="1" applyAlignment="1" applyProtection="1">
      <alignment horizontal="left" vertical="top" wrapText="1"/>
      <protection hidden="1"/>
    </xf>
    <xf numFmtId="0" fontId="1" fillId="0" borderId="3" xfId="7" applyFont="1" applyBorder="1" applyAlignment="1" applyProtection="1">
      <alignment horizontal="center" vertical="top" wrapText="1"/>
      <protection hidden="1"/>
    </xf>
    <xf numFmtId="0" fontId="1" fillId="0" borderId="3" xfId="7" applyBorder="1" applyAlignment="1" applyProtection="1">
      <alignment horizontal="center" vertical="top" wrapText="1"/>
      <protection hidden="1"/>
    </xf>
    <xf numFmtId="0" fontId="9" fillId="15" borderId="19" xfId="7" applyFont="1" applyFill="1" applyBorder="1" applyAlignment="1" applyProtection="1">
      <alignment horizontal="left" vertical="top" wrapText="1"/>
      <protection hidden="1"/>
    </xf>
    <xf numFmtId="0" fontId="10" fillId="0" borderId="0" xfId="7" applyFont="1" applyAlignment="1" applyProtection="1">
      <alignment horizontal="center" vertical="top" wrapText="1"/>
    </xf>
    <xf numFmtId="0" fontId="11" fillId="0" borderId="0" xfId="7" applyFont="1" applyAlignment="1" applyProtection="1">
      <alignment horizontal="center" vertical="top" wrapText="1"/>
    </xf>
    <xf numFmtId="0" fontId="12" fillId="0" borderId="0" xfId="7" applyFont="1" applyAlignment="1" applyProtection="1">
      <alignment horizontal="left" vertical="center" wrapText="1"/>
    </xf>
    <xf numFmtId="0" fontId="1" fillId="0" borderId="3" xfId="7" applyFont="1" applyBorder="1" applyAlignment="1" applyProtection="1">
      <alignment horizontal="right" vertical="top" wrapText="1"/>
    </xf>
    <xf numFmtId="0" fontId="10" fillId="14" borderId="3" xfId="7" applyFont="1" applyFill="1" applyBorder="1" applyAlignment="1" applyProtection="1">
      <alignment horizontal="center" vertical="top" wrapText="1"/>
    </xf>
    <xf numFmtId="0" fontId="11" fillId="14" borderId="9" xfId="7" applyFont="1" applyFill="1" applyBorder="1" applyAlignment="1" applyProtection="1">
      <alignment horizontal="center" vertical="top" wrapText="1"/>
    </xf>
    <xf numFmtId="0" fontId="11" fillId="14" borderId="3" xfId="7" applyFont="1" applyFill="1" applyBorder="1" applyAlignment="1" applyProtection="1">
      <alignment horizontal="center" vertical="top" wrapText="1"/>
    </xf>
  </cellXfs>
  <cellStyles count="8">
    <cellStyle name="Comma" xfId="4"/>
    <cellStyle name="Comma [0]" xfId="5"/>
    <cellStyle name="Currency" xfId="2"/>
    <cellStyle name="Currency [0]" xfId="3"/>
    <cellStyle name="Hyperlink" xfId="6"/>
    <cellStyle name="Normal" xfId="0" builtinId="0"/>
    <cellStyle name="Normal 2" xfId="7"/>
    <cellStyle name="Percent" xfId="1"/>
  </cellStyles>
  <dxfs count="13">
    <dxf>
      <font>
        <b val="0"/>
        <i val="0"/>
        <strike val="0"/>
        <u val="none"/>
        <sz val="10"/>
        <color theme="1"/>
        <name val="Calibri"/>
      </font>
      <numFmt numFmtId="19" formatCode="m/d/yyyy"/>
      <alignment horizontal="right" vertical="top" textRotation="0" wrapText="1" shrinkToFit="0" readingOrder="0"/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1"/>
    </dxf>
    <dxf>
      <font>
        <i val="0"/>
        <strike val="0"/>
        <u val="none"/>
        <sz val="10"/>
        <name val="Calibri"/>
      </font>
      <alignment horizontal="general" vertical="top" textRotation="0" wrapText="1" shrinkToFit="0" readingOrder="0"/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1"/>
    </dxf>
    <dxf>
      <font>
        <b val="0"/>
        <i val="0"/>
        <strike val="0"/>
        <u val="none"/>
        <sz val="10"/>
        <color theme="1"/>
        <name val="Calibri"/>
      </font>
      <alignment horizontal="general" vertical="top" textRotation="0" wrapText="1" shrinkToFit="0" readingOrder="0"/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  <protection locked="0" hidden="1"/>
    </dxf>
    <dxf>
      <font>
        <b val="0"/>
        <i val="0"/>
        <strike val="0"/>
        <u val="none"/>
        <sz val="10"/>
        <color theme="1"/>
        <name val="Calibri"/>
      </font>
      <alignment horizontal="general" vertical="top" textRotation="0" wrapText="1" shrinkToFit="0" readingOrder="0"/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  <protection locked="0" hidden="1"/>
    </dxf>
    <dxf>
      <font>
        <b val="0"/>
        <i val="0"/>
        <strike val="0"/>
        <u val="none"/>
        <sz val="10"/>
        <color theme="1"/>
        <name val="Calibri"/>
      </font>
      <fill>
        <patternFill patternType="solid">
          <bgColor theme="6" tint="0.79992065187536243"/>
        </patternFill>
      </fill>
      <alignment horizontal="general" vertical="top" textRotation="0" wrapText="1" shrinkToFit="0" readingOrder="0"/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  <protection locked="0" hidden="1"/>
    </dxf>
    <dxf>
      <font>
        <b val="0"/>
        <i val="0"/>
        <strike val="0"/>
        <u val="none"/>
        <sz val="10"/>
        <color theme="1"/>
        <name val="Calibri"/>
      </font>
      <fill>
        <patternFill patternType="solid">
          <bgColor theme="0"/>
        </patternFill>
      </fill>
      <alignment horizontal="general" vertical="top" textRotation="0" wrapText="1" shrinkToFit="0" readingOrder="0"/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alibri"/>
      </font>
      <fill>
        <patternFill patternType="solid">
          <bgColor theme="0"/>
        </patternFill>
      </fill>
      <alignment horizontal="general" vertical="top" textRotation="0" wrapText="1" shrinkToFit="0" readingOrder="0"/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top" textRotation="0" wrapText="1" indent="0" justifyLastLine="0" shrinkToFit="0" readingOrder="0"/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u val="none"/>
        <sz val="10"/>
        <color theme="1"/>
        <name val="Calibri"/>
      </font>
      <fill>
        <patternFill patternType="solid">
          <bgColor theme="0"/>
        </patternFill>
      </fill>
      <alignment horizontal="general" vertical="top" textRotation="0" wrapText="1" shrinkToFit="0" readingOrder="0"/>
      <border>
        <left/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b/>
        <i val="0"/>
        <strike val="0"/>
        <u val="none"/>
        <sz val="10"/>
        <color theme="1"/>
        <name val="Calibri"/>
      </font>
      <fill>
        <patternFill patternType="none"/>
      </fill>
      <alignment horizontal="general" vertical="top" textRotation="0" wrapText="1" shrinkToFit="0" readingOrder="0"/>
      <border>
        <left/>
        <right style="dotted">
          <color auto="1"/>
        </right>
        <top style="dotted">
          <color auto="1"/>
        </top>
        <bottom style="dotted">
          <color auto="1"/>
        </bottom>
        <vertical/>
        <horizontal style="dotted">
          <color auto="1"/>
        </horizontal>
      </border>
    </dxf>
    <dxf>
      <border>
        <top style="thin">
          <color auto="1"/>
        </top>
      </border>
    </dxf>
    <dxf>
      <font>
        <b val="0"/>
        <i val="0"/>
        <strike val="0"/>
        <u val="none"/>
        <sz val="10"/>
        <color theme="1"/>
        <name val="Calibri"/>
      </font>
      <alignment horizontal="general" vertical="top" textRotation="0" wrapText="1" shrinkToFit="0" readingOrder="0"/>
    </dxf>
    <dxf>
      <font>
        <b/>
        <i val="0"/>
        <strike val="0"/>
        <u val="none"/>
        <sz val="10"/>
        <color auto="1"/>
        <name val="Calibri"/>
      </font>
      <fill>
        <patternFill patternType="solid">
          <bgColor theme="3" tint="0.79992065187536243"/>
        </patternFill>
      </fill>
      <alignment horizontal="general" vertical="bottom" textRotation="0" wrapText="1" shrinkToFit="0" readingOrder="0"/>
      <border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4</xdr:row>
          <xdr:rowOff>60960</xdr:rowOff>
        </xdr:from>
        <xdr:to>
          <xdr:col>9</xdr:col>
          <xdr:colOff>1226820</xdr:colOff>
          <xdr:row>4</xdr:row>
          <xdr:rowOff>251460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Insert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4</xdr:row>
          <xdr:rowOff>60960</xdr:rowOff>
        </xdr:from>
        <xdr:to>
          <xdr:col>8</xdr:col>
          <xdr:colOff>1287780</xdr:colOff>
          <xdr:row>4</xdr:row>
          <xdr:rowOff>259080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Row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30480</xdr:rowOff>
        </xdr:from>
        <xdr:to>
          <xdr:col>8</xdr:col>
          <xdr:colOff>1318260</xdr:colOff>
          <xdr:row>0</xdr:row>
          <xdr:rowOff>251460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 SW-only to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7620</xdr:rowOff>
        </xdr:from>
        <xdr:to>
          <xdr:col>8</xdr:col>
          <xdr:colOff>1303020</xdr:colOff>
          <xdr:row>1</xdr:row>
          <xdr:rowOff>228600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 Web-only to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22860</xdr:rowOff>
        </xdr:from>
        <xdr:to>
          <xdr:col>8</xdr:col>
          <xdr:colOff>990600</xdr:colOff>
          <xdr:row>3</xdr:row>
          <xdr:rowOff>182880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33</xdr:row>
          <xdr:rowOff>220980</xdr:rowOff>
        </xdr:from>
        <xdr:to>
          <xdr:col>0</xdr:col>
          <xdr:colOff>1181100</xdr:colOff>
          <xdr:row>33</xdr:row>
          <xdr:rowOff>441960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55</xdr:row>
          <xdr:rowOff>289560</xdr:rowOff>
        </xdr:from>
        <xdr:to>
          <xdr:col>0</xdr:col>
          <xdr:colOff>1242060</xdr:colOff>
          <xdr:row>55</xdr:row>
          <xdr:rowOff>457200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60</xdr:row>
          <xdr:rowOff>259080</xdr:rowOff>
        </xdr:from>
        <xdr:to>
          <xdr:col>0</xdr:col>
          <xdr:colOff>1143000</xdr:colOff>
          <xdr:row>60</xdr:row>
          <xdr:rowOff>480060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62</xdr:row>
          <xdr:rowOff>289560</xdr:rowOff>
        </xdr:from>
        <xdr:to>
          <xdr:col>0</xdr:col>
          <xdr:colOff>1226820</xdr:colOff>
          <xdr:row>62</xdr:row>
          <xdr:rowOff>502920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5</xdr:row>
          <xdr:rowOff>213360</xdr:rowOff>
        </xdr:from>
        <xdr:to>
          <xdr:col>0</xdr:col>
          <xdr:colOff>1181100</xdr:colOff>
          <xdr:row>5</xdr:row>
          <xdr:rowOff>426720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10</xdr:row>
          <xdr:rowOff>251460</xdr:rowOff>
        </xdr:from>
        <xdr:to>
          <xdr:col>0</xdr:col>
          <xdr:colOff>1173480</xdr:colOff>
          <xdr:row>10</xdr:row>
          <xdr:rowOff>464820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4</xdr:row>
          <xdr:rowOff>312420</xdr:rowOff>
        </xdr:from>
        <xdr:to>
          <xdr:col>8</xdr:col>
          <xdr:colOff>1280160</xdr:colOff>
          <xdr:row>4</xdr:row>
          <xdr:rowOff>502920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4</xdr:row>
          <xdr:rowOff>312420</xdr:rowOff>
        </xdr:from>
        <xdr:to>
          <xdr:col>9</xdr:col>
          <xdr:colOff>1226820</xdr:colOff>
          <xdr:row>4</xdr:row>
          <xdr:rowOff>502920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23</xdr:row>
          <xdr:rowOff>266700</xdr:rowOff>
        </xdr:from>
        <xdr:to>
          <xdr:col>0</xdr:col>
          <xdr:colOff>1165860</xdr:colOff>
          <xdr:row>23</xdr:row>
          <xdr:rowOff>487680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Toggle DNA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0</xdr:row>
          <xdr:rowOff>45720</xdr:rowOff>
        </xdr:from>
        <xdr:to>
          <xdr:col>4</xdr:col>
          <xdr:colOff>4366260</xdr:colOff>
          <xdr:row>1</xdr:row>
          <xdr:rowOff>0</xdr:rowOff>
        </xdr:to>
        <xdr:sp macro="" textlink="">
          <xdr:nvSpPr>
            <xdr:cNvPr id="5148" name="Button 1052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liff.soon/Documents/Baseline/Application_results_sheet_v5.0-5%20drft%20DN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blResults" displayName="tblResults" ref="A5:J70" totalsRowShown="0" headerRowDxfId="12" dataDxfId="11" tableBorderDxfId="10">
  <autoFilter ref="A5:J70"/>
  <tableColumns count="10">
    <tableColumn id="1" name="Test" dataDxfId="9"/>
    <tableColumn id="2" name="Test IDs" dataDxfId="8"/>
    <tableColumn id="3" name="Test Condition" dataDxfId="7"/>
    <tableColumn id="4" name="Test name" dataDxfId="6"/>
    <tableColumn id="5" name="SC" dataDxfId="5"/>
    <tableColumn id="6" name="Test Results" dataDxfId="4"/>
    <tableColumn id="7" name="Web-only or SW only?" dataDxfId="3"/>
    <tableColumn id="8" name="Section ID (for setting NA)" dataDxfId="2"/>
    <tableColumn id="9" name="Failure Details (Provide Screen/Location)" dataDxfId="1"/>
    <tableColumn id="10" name="Screensho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4"/>
  <sheetViews>
    <sheetView workbookViewId="0">
      <selection activeCell="A12" sqref="A12"/>
    </sheetView>
  </sheetViews>
  <sheetFormatPr defaultColWidth="9.109375" defaultRowHeight="14.4"/>
  <sheetData>
    <row r="1" spans="1:11" ht="28.8">
      <c r="A1" s="1" t="s">
        <v>6</v>
      </c>
    </row>
    <row r="2" spans="1:11">
      <c r="A2" s="8" t="s">
        <v>3</v>
      </c>
    </row>
    <row r="3" spans="1:11">
      <c r="A3" s="6" t="s">
        <v>0</v>
      </c>
    </row>
    <row r="4" spans="1:11">
      <c r="A4" s="6" t="s">
        <v>1</v>
      </c>
    </row>
    <row r="5" spans="1:11">
      <c r="A5" s="6" t="s">
        <v>4</v>
      </c>
    </row>
    <row r="6" spans="1:11">
      <c r="A6" s="9" t="s">
        <v>2</v>
      </c>
    </row>
    <row r="7" spans="1:11">
      <c r="A7" s="8" t="s">
        <v>3</v>
      </c>
      <c r="B7" s="8" t="s">
        <v>3</v>
      </c>
    </row>
    <row r="8" spans="1:11">
      <c r="A8" s="6" t="s">
        <v>156</v>
      </c>
      <c r="B8" s="6" t="s">
        <v>156</v>
      </c>
    </row>
    <row r="9" spans="1:11">
      <c r="A9" s="6" t="s">
        <v>157</v>
      </c>
      <c r="B9" s="6" t="s">
        <v>13</v>
      </c>
    </row>
    <row r="10" spans="1:11">
      <c r="A10" s="6" t="s">
        <v>13</v>
      </c>
      <c r="B10" s="6"/>
    </row>
    <row r="11" spans="1:11">
      <c r="A11" s="6" t="s">
        <v>203</v>
      </c>
      <c r="B11" s="6"/>
    </row>
    <row r="12" spans="1:11">
      <c r="A12" s="9" t="s">
        <v>150</v>
      </c>
    </row>
    <row r="13" spans="1:11">
      <c r="A13" s="120" t="s">
        <v>3</v>
      </c>
      <c r="C13" s="120" t="s">
        <v>3</v>
      </c>
      <c r="E13" s="120" t="s">
        <v>3</v>
      </c>
      <c r="G13" s="120" t="s">
        <v>3</v>
      </c>
      <c r="I13" s="120" t="s">
        <v>3</v>
      </c>
      <c r="K13" s="120" t="s">
        <v>3</v>
      </c>
    </row>
    <row r="14" spans="1:11" ht="28.8">
      <c r="A14" t="s">
        <v>136</v>
      </c>
      <c r="C14" t="s">
        <v>137</v>
      </c>
      <c r="E14" t="s">
        <v>1</v>
      </c>
      <c r="G14" t="s">
        <v>137</v>
      </c>
      <c r="I14" t="s">
        <v>142</v>
      </c>
      <c r="K14" t="s">
        <v>147</v>
      </c>
    </row>
    <row r="15" spans="1:11" ht="43.2">
      <c r="A15" t="s">
        <v>154</v>
      </c>
      <c r="C15" t="s">
        <v>135</v>
      </c>
      <c r="E15" t="s">
        <v>0</v>
      </c>
      <c r="G15" t="s">
        <v>82</v>
      </c>
      <c r="I15" t="s">
        <v>143</v>
      </c>
      <c r="K15" t="s">
        <v>144</v>
      </c>
    </row>
    <row r="16" spans="1:11">
      <c r="C16" t="s">
        <v>138</v>
      </c>
      <c r="G16" t="s">
        <v>83</v>
      </c>
      <c r="K16" t="s">
        <v>145</v>
      </c>
    </row>
    <row r="17" spans="1:11">
      <c r="C17" t="s">
        <v>139</v>
      </c>
      <c r="K17" t="s">
        <v>146</v>
      </c>
    </row>
    <row r="19" spans="1:11">
      <c r="A19" s="1" t="s">
        <v>151</v>
      </c>
    </row>
    <row r="20" spans="1:11">
      <c r="A20" s="120" t="s">
        <v>3</v>
      </c>
      <c r="C20" s="120" t="s">
        <v>3</v>
      </c>
      <c r="E20" s="120" t="s">
        <v>3</v>
      </c>
      <c r="G20" s="120" t="s">
        <v>3</v>
      </c>
      <c r="I20" s="120" t="s">
        <v>3</v>
      </c>
      <c r="K20" s="120" t="s">
        <v>3</v>
      </c>
    </row>
    <row r="21" spans="1:11" ht="28.8">
      <c r="A21" t="s">
        <v>136</v>
      </c>
      <c r="C21" t="s">
        <v>137</v>
      </c>
      <c r="E21" t="s">
        <v>1</v>
      </c>
      <c r="G21" t="s">
        <v>137</v>
      </c>
      <c r="I21" t="s">
        <v>142</v>
      </c>
    </row>
    <row r="22" spans="1:11" ht="43.2">
      <c r="A22" t="s">
        <v>154</v>
      </c>
      <c r="C22" t="s">
        <v>155</v>
      </c>
      <c r="E22" t="s">
        <v>0</v>
      </c>
      <c r="G22" t="s">
        <v>82</v>
      </c>
      <c r="I22" t="s">
        <v>143</v>
      </c>
    </row>
    <row r="23" spans="1:11">
      <c r="C23" t="s">
        <v>138</v>
      </c>
      <c r="G23" t="s">
        <v>83</v>
      </c>
    </row>
    <row r="24" spans="1:11">
      <c r="C24" t="s">
        <v>139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4"/>
  <sheetViews>
    <sheetView topLeftCell="A4" workbookViewId="0">
      <selection activeCell="D13" sqref="D13:N13"/>
    </sheetView>
  </sheetViews>
  <sheetFormatPr defaultColWidth="9.109375" defaultRowHeight="14.4" outlineLevelRow="2"/>
  <cols>
    <col min="2" max="2" width="1.109375" customWidth="1"/>
    <col min="3" max="3" width="9.6640625" style="74" customWidth="1"/>
    <col min="4" max="4" width="20.44140625" customWidth="1"/>
    <col min="15" max="15" width="1" customWidth="1"/>
  </cols>
  <sheetData>
    <row r="1" spans="1:18" ht="43.5" customHeight="1">
      <c r="C1" s="150" t="s">
        <v>116</v>
      </c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</row>
    <row r="2" spans="1:18" ht="16.5" customHeight="1"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</row>
    <row r="3" spans="1:18" ht="6.75" customHeight="1">
      <c r="B3" s="75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76"/>
    </row>
    <row r="4" spans="1:18" ht="37.5" customHeight="1">
      <c r="B4" s="77"/>
      <c r="C4" s="156" t="s">
        <v>89</v>
      </c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78"/>
    </row>
    <row r="5" spans="1:18" ht="41.25" customHeight="1">
      <c r="B5" s="77"/>
      <c r="C5" s="156" t="s">
        <v>97</v>
      </c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78"/>
    </row>
    <row r="6" spans="1:18" ht="6.75" customHeight="1">
      <c r="B6" s="80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91"/>
    </row>
    <row r="7" spans="1:18" ht="14.25" customHeight="1">
      <c r="A7" s="3"/>
      <c r="B7" s="3"/>
      <c r="C7" s="154"/>
      <c r="D7" s="154"/>
      <c r="E7" s="154"/>
      <c r="F7" s="154"/>
      <c r="G7" s="154"/>
      <c r="H7" s="154"/>
      <c r="I7" s="154"/>
      <c r="J7" s="154"/>
      <c r="K7" s="154"/>
      <c r="L7" s="154"/>
      <c r="M7" s="154"/>
      <c r="N7" s="154"/>
      <c r="O7" s="3"/>
      <c r="P7" s="3"/>
      <c r="Q7" s="3"/>
      <c r="R7" s="3"/>
    </row>
    <row r="8" spans="1:18" ht="6" customHeight="1">
      <c r="B8" s="75"/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76"/>
    </row>
    <row r="9" spans="1:18" ht="15.6">
      <c r="B9" s="77"/>
      <c r="C9" s="146" t="s">
        <v>86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78"/>
    </row>
    <row r="10" spans="1:18" ht="36" customHeight="1" outlineLevel="1">
      <c r="B10" s="77"/>
      <c r="C10" s="147" t="s">
        <v>101</v>
      </c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78"/>
    </row>
    <row r="11" spans="1:18" ht="33" customHeight="1" outlineLevel="2">
      <c r="B11" s="77"/>
      <c r="C11" s="82" t="s">
        <v>103</v>
      </c>
      <c r="D11" s="148" t="s">
        <v>160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78"/>
    </row>
    <row r="12" spans="1:18" ht="18.75" customHeight="1" outlineLevel="2">
      <c r="B12" s="77"/>
      <c r="C12" s="82" t="s">
        <v>104</v>
      </c>
      <c r="D12" s="148" t="s">
        <v>120</v>
      </c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78"/>
    </row>
    <row r="13" spans="1:18" ht="33.75" customHeight="1" outlineLevel="2">
      <c r="B13" s="77"/>
      <c r="C13" s="82" t="s">
        <v>105</v>
      </c>
      <c r="D13" s="148" t="s">
        <v>110</v>
      </c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78"/>
    </row>
    <row r="14" spans="1:18" ht="34.5" customHeight="1" outlineLevel="2">
      <c r="B14" s="77"/>
      <c r="C14" s="82" t="s">
        <v>106</v>
      </c>
      <c r="D14" s="148" t="s">
        <v>94</v>
      </c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78"/>
    </row>
    <row r="15" spans="1:18" ht="31.5" customHeight="1" outlineLevel="2">
      <c r="B15" s="77"/>
      <c r="C15" s="82" t="s">
        <v>107</v>
      </c>
      <c r="D15" s="148" t="s">
        <v>95</v>
      </c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78"/>
    </row>
    <row r="16" spans="1:18" ht="31.5" customHeight="1" outlineLevel="2">
      <c r="B16" s="77"/>
      <c r="C16" s="122" t="s">
        <v>108</v>
      </c>
      <c r="D16" s="148" t="s">
        <v>129</v>
      </c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78"/>
    </row>
    <row r="17" spans="2:15" outlineLevel="2">
      <c r="B17" s="77"/>
      <c r="C17" s="82" t="s">
        <v>108</v>
      </c>
      <c r="D17" s="148" t="s">
        <v>96</v>
      </c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78"/>
    </row>
    <row r="18" spans="2:15" outlineLevel="2">
      <c r="B18" s="77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78"/>
    </row>
    <row r="19" spans="2:15" ht="20.25" customHeight="1" outlineLevel="2">
      <c r="B19" s="77"/>
      <c r="C19" s="82"/>
      <c r="D19" s="147" t="s">
        <v>98</v>
      </c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78"/>
    </row>
    <row r="20" spans="2:15" ht="8.25" customHeight="1" outlineLevel="2">
      <c r="B20" s="77"/>
      <c r="C20" s="149"/>
      <c r="D20" s="149"/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78"/>
    </row>
    <row r="21" spans="2:15" ht="34.5" customHeight="1" outlineLevel="2">
      <c r="B21" s="77"/>
      <c r="C21" s="82"/>
      <c r="D21" s="83" t="s">
        <v>90</v>
      </c>
      <c r="E21" s="148" t="s">
        <v>91</v>
      </c>
      <c r="F21" s="148"/>
      <c r="G21" s="148"/>
      <c r="H21" s="148"/>
      <c r="I21" s="148"/>
      <c r="J21" s="148"/>
      <c r="K21" s="148"/>
      <c r="L21" s="148"/>
      <c r="M21" s="148"/>
      <c r="N21" s="148"/>
      <c r="O21" s="79"/>
    </row>
    <row r="22" spans="2:15" ht="18.75" customHeight="1" outlineLevel="2">
      <c r="B22" s="77"/>
      <c r="C22" s="82"/>
      <c r="D22" s="83" t="s">
        <v>117</v>
      </c>
      <c r="E22" s="148" t="s">
        <v>92</v>
      </c>
      <c r="F22" s="148"/>
      <c r="G22" s="148"/>
      <c r="H22" s="148"/>
      <c r="I22" s="148"/>
      <c r="J22" s="148"/>
      <c r="K22" s="148"/>
      <c r="L22" s="148"/>
      <c r="M22" s="148"/>
      <c r="N22" s="148"/>
      <c r="O22" s="79"/>
    </row>
    <row r="23" spans="2:15" ht="21" customHeight="1" outlineLevel="2">
      <c r="B23" s="77"/>
      <c r="C23" s="82"/>
      <c r="D23" s="83" t="s">
        <v>118</v>
      </c>
      <c r="E23" s="148" t="s">
        <v>93</v>
      </c>
      <c r="F23" s="148"/>
      <c r="G23" s="148"/>
      <c r="H23" s="148"/>
      <c r="I23" s="148"/>
      <c r="J23" s="148"/>
      <c r="K23" s="148"/>
      <c r="L23" s="148"/>
      <c r="M23" s="148"/>
      <c r="N23" s="148"/>
      <c r="O23" s="79"/>
    </row>
    <row r="24" spans="2:15" ht="21" customHeight="1" outlineLevel="2">
      <c r="B24" s="77"/>
      <c r="C24" s="82"/>
      <c r="D24" s="83" t="s">
        <v>99</v>
      </c>
      <c r="E24" s="148" t="s">
        <v>100</v>
      </c>
      <c r="F24" s="148"/>
      <c r="G24" s="148"/>
      <c r="H24" s="148"/>
      <c r="I24" s="148"/>
      <c r="J24" s="148"/>
      <c r="K24" s="148"/>
      <c r="L24" s="148"/>
      <c r="M24" s="148"/>
      <c r="N24" s="148"/>
      <c r="O24" s="79"/>
    </row>
    <row r="25" spans="2:15" ht="4.5" customHeight="1" outlineLevel="2">
      <c r="B25" s="80"/>
      <c r="C25" s="84"/>
      <c r="D25" s="85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1"/>
    </row>
    <row r="26" spans="2:15" ht="16.5" customHeight="1" outlineLevel="2">
      <c r="B26" s="3"/>
      <c r="C26" s="92"/>
      <c r="D26" s="93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49"/>
    </row>
    <row r="27" spans="2:15" ht="6.75" customHeight="1">
      <c r="B27" s="75"/>
      <c r="C27" s="94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76"/>
    </row>
    <row r="28" spans="2:15" ht="15.6">
      <c r="B28" s="77"/>
      <c r="C28" s="155" t="s">
        <v>87</v>
      </c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78"/>
    </row>
    <row r="29" spans="2:15" ht="31.5" customHeight="1" outlineLevel="1">
      <c r="B29" s="77"/>
      <c r="C29" s="156" t="s">
        <v>102</v>
      </c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78"/>
    </row>
    <row r="30" spans="2:15" ht="19.5" customHeight="1" outlineLevel="1">
      <c r="B30" s="77"/>
      <c r="C30" s="95" t="s">
        <v>103</v>
      </c>
      <c r="D30" s="151" t="s">
        <v>109</v>
      </c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78"/>
    </row>
    <row r="31" spans="2:15" ht="20.25" customHeight="1" outlineLevel="1">
      <c r="B31" s="77"/>
      <c r="C31" s="95" t="s">
        <v>104</v>
      </c>
      <c r="D31" s="151" t="s">
        <v>111</v>
      </c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78"/>
    </row>
    <row r="32" spans="2:15" ht="30" customHeight="1" outlineLevel="1">
      <c r="B32" s="77"/>
      <c r="C32" s="95" t="s">
        <v>105</v>
      </c>
      <c r="D32" s="151" t="s">
        <v>112</v>
      </c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78"/>
    </row>
    <row r="33" spans="2:15" ht="17.25" customHeight="1" outlineLevel="1">
      <c r="B33" s="77"/>
      <c r="C33" s="95" t="s">
        <v>106</v>
      </c>
      <c r="D33" s="151" t="s">
        <v>113</v>
      </c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78"/>
    </row>
    <row r="34" spans="2:15" ht="30" customHeight="1" outlineLevel="1">
      <c r="B34" s="77"/>
      <c r="C34" s="95" t="s">
        <v>107</v>
      </c>
      <c r="D34" s="151" t="s">
        <v>114</v>
      </c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78"/>
    </row>
    <row r="35" spans="2:15" ht="6.75" customHeight="1" outlineLevel="1">
      <c r="B35" s="80"/>
      <c r="C35" s="84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1"/>
    </row>
    <row r="36" spans="2:15">
      <c r="C36" s="87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</row>
    <row r="37" spans="2:15" ht="6.75" customHeight="1">
      <c r="B37" s="75"/>
      <c r="C37" s="94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76"/>
    </row>
    <row r="38" spans="2:15" ht="15.6">
      <c r="B38" s="77"/>
      <c r="C38" s="159" t="s">
        <v>88</v>
      </c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78"/>
    </row>
    <row r="39" spans="2:15">
      <c r="B39" s="77"/>
      <c r="C39" s="156" t="s">
        <v>115</v>
      </c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78"/>
    </row>
    <row r="40" spans="2:15" ht="5.25" customHeight="1">
      <c r="B40" s="80"/>
      <c r="C40" s="84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1"/>
    </row>
    <row r="41" spans="2:15">
      <c r="C41" s="87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</row>
    <row r="42" spans="2:15" ht="6" customHeight="1">
      <c r="B42" s="75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7"/>
      <c r="O42" s="76"/>
    </row>
    <row r="43" spans="2:15" ht="15" customHeight="1">
      <c r="B43" s="77"/>
      <c r="C43" s="146" t="s">
        <v>133</v>
      </c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78"/>
    </row>
    <row r="44" spans="2:15" ht="15" customHeight="1">
      <c r="B44" s="77"/>
      <c r="C44" s="125" t="s">
        <v>158</v>
      </c>
      <c r="D44" s="124">
        <v>43328</v>
      </c>
      <c r="E44" s="156" t="s">
        <v>159</v>
      </c>
      <c r="F44" s="156"/>
      <c r="G44" s="156"/>
      <c r="H44" s="156"/>
      <c r="I44" s="156"/>
      <c r="J44" s="156"/>
      <c r="K44" s="156"/>
      <c r="L44" s="156"/>
      <c r="M44" s="156"/>
      <c r="N44" s="156"/>
      <c r="O44" s="78"/>
    </row>
    <row r="45" spans="2:15" ht="15" customHeight="1">
      <c r="B45" s="77"/>
      <c r="C45" s="125"/>
      <c r="D45" s="124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78"/>
    </row>
    <row r="46" spans="2:15" ht="15" customHeight="1">
      <c r="B46" s="77"/>
      <c r="C46" s="125"/>
      <c r="D46" s="124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78"/>
    </row>
    <row r="47" spans="2:15" ht="15" customHeight="1">
      <c r="B47" s="77"/>
      <c r="C47" s="125"/>
      <c r="D47" s="124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78"/>
    </row>
    <row r="48" spans="2:15" ht="15" customHeight="1">
      <c r="B48" s="77"/>
      <c r="C48" s="125"/>
      <c r="D48" s="124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78"/>
    </row>
    <row r="49" spans="2:15" ht="15" customHeight="1">
      <c r="B49" s="77"/>
      <c r="C49" s="125"/>
      <c r="D49" s="124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78"/>
    </row>
    <row r="50" spans="2:15" ht="17.25" customHeight="1">
      <c r="B50" s="77"/>
      <c r="C50" s="125"/>
      <c r="D50" s="124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78"/>
    </row>
    <row r="51" spans="2:15" ht="17.25" customHeight="1">
      <c r="B51" s="77"/>
      <c r="C51" s="87"/>
      <c r="D51" s="126"/>
      <c r="E51" s="74"/>
      <c r="O51" s="78"/>
    </row>
    <row r="52" spans="2:15" ht="22.5" customHeight="1">
      <c r="B52" s="77"/>
      <c r="C52" s="87"/>
      <c r="D52" s="126"/>
      <c r="E52" s="74"/>
      <c r="O52" s="78"/>
    </row>
    <row r="53" spans="2:15" ht="6.75" customHeight="1">
      <c r="B53" s="80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91"/>
    </row>
    <row r="54" spans="2:15">
      <c r="C54" s="87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</row>
  </sheetData>
  <sheetProtection sheet="1" objects="1" scenarios="1"/>
  <mergeCells count="44">
    <mergeCell ref="E24:N24"/>
    <mergeCell ref="D17:N17"/>
    <mergeCell ref="C29:N29"/>
    <mergeCell ref="D30:N30"/>
    <mergeCell ref="C53:N53"/>
    <mergeCell ref="C38:N38"/>
    <mergeCell ref="C42:N42"/>
    <mergeCell ref="C43:N43"/>
    <mergeCell ref="E44:N44"/>
    <mergeCell ref="E50:N50"/>
    <mergeCell ref="C39:N39"/>
    <mergeCell ref="E45:N45"/>
    <mergeCell ref="E46:N46"/>
    <mergeCell ref="E47:N47"/>
    <mergeCell ref="E48:N48"/>
    <mergeCell ref="E49:N49"/>
    <mergeCell ref="C1:N1"/>
    <mergeCell ref="D34:N34"/>
    <mergeCell ref="C8:N8"/>
    <mergeCell ref="C6:N6"/>
    <mergeCell ref="C7:N7"/>
    <mergeCell ref="C28:N28"/>
    <mergeCell ref="C20:N20"/>
    <mergeCell ref="D27:N27"/>
    <mergeCell ref="C5:N5"/>
    <mergeCell ref="C4:N4"/>
    <mergeCell ref="C3:N3"/>
    <mergeCell ref="C2:N2"/>
    <mergeCell ref="D12:N12"/>
    <mergeCell ref="D31:N31"/>
    <mergeCell ref="D32:N32"/>
    <mergeCell ref="D33:N33"/>
    <mergeCell ref="C9:N9"/>
    <mergeCell ref="C10:N10"/>
    <mergeCell ref="E21:N21"/>
    <mergeCell ref="E22:N22"/>
    <mergeCell ref="E23:N23"/>
    <mergeCell ref="C18:N18"/>
    <mergeCell ref="D11:N11"/>
    <mergeCell ref="D13:N13"/>
    <mergeCell ref="D14:N14"/>
    <mergeCell ref="D15:N15"/>
    <mergeCell ref="D16:N16"/>
    <mergeCell ref="D19:N19"/>
  </mergeCells>
  <pageMargins left="0.7" right="0.7" top="0.75" bottom="0.75" header="0.3" footer="0.3"/>
  <pageSetup paperSize="9" orientation="portrait"/>
  <ignoredErrors>
    <ignoredError sqref="C11:C1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P211"/>
  <sheetViews>
    <sheetView tabSelected="1" zoomScale="80" zoomScaleNormal="80" zoomScaleSheetLayoutView="100" workbookViewId="0">
      <pane xSplit="3" ySplit="5" topLeftCell="D55" activePane="bottomRight" state="frozen"/>
      <selection pane="topRight" activeCell="D1" sqref="D1"/>
      <selection pane="bottomLeft" activeCell="A6" sqref="A6"/>
      <selection pane="bottomRight" activeCell="C18" sqref="C18"/>
    </sheetView>
  </sheetViews>
  <sheetFormatPr defaultColWidth="9.109375" defaultRowHeight="14.4" outlineLevelCol="1"/>
  <cols>
    <col min="1" max="1" width="21.88671875" style="6" customWidth="1"/>
    <col min="2" max="2" width="4.88671875" style="10" customWidth="1"/>
    <col min="3" max="3" width="43.6640625" style="5" customWidth="1"/>
    <col min="4" max="4" width="15.109375" style="5" customWidth="1"/>
    <col min="5" max="5" width="11.44140625" style="11" customWidth="1"/>
    <col min="6" max="6" width="12.109375" style="11" customWidth="1"/>
    <col min="7" max="8" width="11.109375" style="5" hidden="1" customWidth="1"/>
    <col min="9" max="9" width="20" style="5" customWidth="1"/>
    <col min="10" max="10" width="20.33203125" style="11" customWidth="1"/>
    <col min="11" max="22" width="3.88671875" style="53" hidden="1" customWidth="1" outlineLevel="1"/>
    <col min="23" max="73" width="3.44140625" style="53" hidden="1" customWidth="1" outlineLevel="1"/>
    <col min="74" max="74" width="3.33203125" style="13" hidden="1" customWidth="1" outlineLevel="1"/>
    <col min="75" max="78" width="3.33203125" style="15" hidden="1" customWidth="1" outlineLevel="1"/>
    <col min="79" max="106" width="4" style="15" hidden="1" customWidth="1" outlineLevel="1"/>
    <col min="107" max="119" width="4" style="6" hidden="1" customWidth="1" outlineLevel="1"/>
    <col min="120" max="120" width="9.109375" style="6" collapsed="1"/>
    <col min="121" max="16384" width="9.109375" style="6"/>
  </cols>
  <sheetData>
    <row r="1" spans="1:119" ht="21" customHeight="1">
      <c r="A1" s="14" t="s">
        <v>134</v>
      </c>
      <c r="B1" s="13" t="s">
        <v>344</v>
      </c>
      <c r="C1" s="4"/>
      <c r="D1" s="4"/>
      <c r="E1" s="12"/>
      <c r="F1" s="12"/>
      <c r="G1" s="4"/>
      <c r="H1" s="4"/>
      <c r="I1" s="4"/>
      <c r="J1" s="12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</row>
    <row r="2" spans="1:119" ht="18.75" customHeight="1">
      <c r="A2" s="9"/>
      <c r="B2" s="13"/>
      <c r="C2" s="4" t="s">
        <v>345</v>
      </c>
      <c r="D2" s="4"/>
      <c r="E2" s="12"/>
      <c r="F2" s="12"/>
      <c r="G2" s="4"/>
      <c r="H2" s="4"/>
      <c r="I2" s="4"/>
      <c r="J2" s="12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</row>
    <row r="3" spans="1:119" ht="4.5" customHeight="1">
      <c r="A3" s="9"/>
      <c r="B3" s="15"/>
      <c r="C3" s="4"/>
      <c r="D3" s="4"/>
      <c r="E3" s="12"/>
      <c r="F3" s="12"/>
      <c r="G3" s="4"/>
      <c r="H3" s="4"/>
      <c r="I3" s="4"/>
      <c r="J3" s="12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114" t="str">
        <f>IF(OR(X4="NC",Y4="NC"),"NC",IF(OR(X4="C",Y4="C"),"C",IF(OR(X4="DNA",Y4="DNA"),"DNA","--")))</f>
        <v>--</v>
      </c>
      <c r="Y3" s="11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</row>
    <row r="4" spans="1:119">
      <c r="A4" s="14"/>
      <c r="B4" s="13"/>
      <c r="C4" s="4"/>
      <c r="D4" s="4"/>
      <c r="E4" s="12"/>
      <c r="F4" s="12"/>
      <c r="G4" s="4"/>
      <c r="H4" s="4"/>
      <c r="I4" s="4"/>
      <c r="J4" s="22" t="s">
        <v>5</v>
      </c>
      <c r="K4" s="54" t="str">
        <f t="shared" ref="K4:AP4" si="0">IF(COUNTIF(K6:K70,"Fail"),"Fail",IF(COUNTIF(K6:K70,"Pass"),"Pass",IF(COUNTIF(K6:K70,"Not Tested"),"NT",IF(COUNTIF(K6:K70,"DNA"),"DNA","--"))))</f>
        <v>--</v>
      </c>
      <c r="L4" s="54" t="str">
        <f t="shared" si="0"/>
        <v>--</v>
      </c>
      <c r="M4" s="54" t="str">
        <f t="shared" si="0"/>
        <v>--</v>
      </c>
      <c r="N4" s="54" t="str">
        <f t="shared" si="0"/>
        <v>--</v>
      </c>
      <c r="O4" s="54" t="str">
        <f t="shared" si="0"/>
        <v>--</v>
      </c>
      <c r="P4" s="54" t="str">
        <f t="shared" si="0"/>
        <v>--</v>
      </c>
      <c r="Q4" s="54" t="str">
        <f t="shared" si="0"/>
        <v>--</v>
      </c>
      <c r="R4" s="54" t="str">
        <f t="shared" si="0"/>
        <v>--</v>
      </c>
      <c r="S4" s="54" t="str">
        <f t="shared" si="0"/>
        <v>--</v>
      </c>
      <c r="T4" s="54" t="str">
        <f t="shared" si="0"/>
        <v>--</v>
      </c>
      <c r="U4" s="54" t="str">
        <f t="shared" si="0"/>
        <v>--</v>
      </c>
      <c r="V4" s="54" t="str">
        <f t="shared" si="0"/>
        <v>--</v>
      </c>
      <c r="W4" s="54" t="str">
        <f t="shared" si="0"/>
        <v>--</v>
      </c>
      <c r="X4" s="54" t="str">
        <f t="shared" si="0"/>
        <v>--</v>
      </c>
      <c r="Y4" s="54" t="str">
        <f t="shared" si="0"/>
        <v>--</v>
      </c>
      <c r="Z4" s="54" t="str">
        <f t="shared" si="0"/>
        <v>--</v>
      </c>
      <c r="AA4" s="54" t="str">
        <f t="shared" si="0"/>
        <v>--</v>
      </c>
      <c r="AB4" s="54" t="str">
        <f t="shared" si="0"/>
        <v>--</v>
      </c>
      <c r="AC4" s="54" t="str">
        <f t="shared" si="0"/>
        <v>--</v>
      </c>
      <c r="AD4" s="54" t="str">
        <f t="shared" si="0"/>
        <v>--</v>
      </c>
      <c r="AE4" s="54" t="str">
        <f t="shared" si="0"/>
        <v>--</v>
      </c>
      <c r="AF4" s="54" t="str">
        <f t="shared" si="0"/>
        <v>--</v>
      </c>
      <c r="AG4" s="54" t="str">
        <f t="shared" si="0"/>
        <v>--</v>
      </c>
      <c r="AH4" s="54" t="str">
        <f t="shared" si="0"/>
        <v>--</v>
      </c>
      <c r="AI4" s="54" t="str">
        <f t="shared" si="0"/>
        <v>--</v>
      </c>
      <c r="AJ4" s="54" t="str">
        <f t="shared" si="0"/>
        <v>--</v>
      </c>
      <c r="AK4" s="54" t="str">
        <f t="shared" si="0"/>
        <v>--</v>
      </c>
      <c r="AL4" s="54" t="str">
        <f t="shared" si="0"/>
        <v>--</v>
      </c>
      <c r="AM4" s="54" t="str">
        <f t="shared" si="0"/>
        <v>--</v>
      </c>
      <c r="AN4" s="54" t="str">
        <f t="shared" si="0"/>
        <v>--</v>
      </c>
      <c r="AO4" s="54" t="str">
        <f t="shared" si="0"/>
        <v>--</v>
      </c>
      <c r="AP4" s="54" t="str">
        <f t="shared" si="0"/>
        <v>--</v>
      </c>
      <c r="AQ4" s="54" t="str">
        <f t="shared" ref="AQ4:BV4" si="1">IF(COUNTIF(AQ6:AQ70,"Fail"),"Fail",IF(COUNTIF(AQ6:AQ70,"Pass"),"Pass",IF(COUNTIF(AQ6:AQ70,"Not Tested"),"NT",IF(COUNTIF(AQ6:AQ70,"DNA"),"DNA","--"))))</f>
        <v>--</v>
      </c>
      <c r="AR4" s="54" t="str">
        <f t="shared" si="1"/>
        <v>--</v>
      </c>
      <c r="AS4" s="54" t="str">
        <f t="shared" si="1"/>
        <v>--</v>
      </c>
      <c r="AT4" s="54" t="str">
        <f t="shared" si="1"/>
        <v>--</v>
      </c>
      <c r="AU4" s="54" t="str">
        <f t="shared" si="1"/>
        <v>--</v>
      </c>
      <c r="AV4" s="54" t="str">
        <f t="shared" si="1"/>
        <v>--</v>
      </c>
      <c r="AW4" s="54" t="str">
        <f t="shared" si="1"/>
        <v>--</v>
      </c>
      <c r="AX4" s="54" t="str">
        <f t="shared" si="1"/>
        <v>--</v>
      </c>
      <c r="AY4" s="54" t="str">
        <f t="shared" si="1"/>
        <v>--</v>
      </c>
      <c r="AZ4" s="54" t="str">
        <f t="shared" si="1"/>
        <v>--</v>
      </c>
      <c r="BA4" s="54" t="str">
        <f t="shared" si="1"/>
        <v>--</v>
      </c>
      <c r="BB4" s="54" t="str">
        <f t="shared" si="1"/>
        <v>--</v>
      </c>
      <c r="BC4" s="54" t="str">
        <f t="shared" si="1"/>
        <v>--</v>
      </c>
      <c r="BD4" s="54" t="str">
        <f t="shared" si="1"/>
        <v>--</v>
      </c>
      <c r="BE4" s="54" t="str">
        <f t="shared" si="1"/>
        <v>--</v>
      </c>
      <c r="BF4" s="54" t="str">
        <f t="shared" si="1"/>
        <v>--</v>
      </c>
      <c r="BG4" s="54" t="str">
        <f t="shared" si="1"/>
        <v>--</v>
      </c>
      <c r="BH4" s="54" t="str">
        <f t="shared" si="1"/>
        <v>--</v>
      </c>
      <c r="BI4" s="54" t="str">
        <f t="shared" si="1"/>
        <v>--</v>
      </c>
      <c r="BJ4" s="54" t="str">
        <f t="shared" si="1"/>
        <v>--</v>
      </c>
      <c r="BK4" s="54" t="str">
        <f t="shared" si="1"/>
        <v>--</v>
      </c>
      <c r="BL4" s="54" t="str">
        <f t="shared" si="1"/>
        <v>--</v>
      </c>
      <c r="BM4" s="54" t="str">
        <f t="shared" si="1"/>
        <v>--</v>
      </c>
      <c r="BN4" s="54" t="str">
        <f t="shared" si="1"/>
        <v>--</v>
      </c>
      <c r="BO4" s="54" t="str">
        <f t="shared" si="1"/>
        <v>--</v>
      </c>
      <c r="BP4" s="54" t="str">
        <f t="shared" si="1"/>
        <v>--</v>
      </c>
      <c r="BQ4" s="54" t="str">
        <f t="shared" si="1"/>
        <v>--</v>
      </c>
      <c r="BR4" s="54" t="str">
        <f t="shared" si="1"/>
        <v>--</v>
      </c>
      <c r="BS4" s="54" t="str">
        <f t="shared" si="1"/>
        <v>--</v>
      </c>
      <c r="BT4" s="54" t="str">
        <f t="shared" si="1"/>
        <v>--</v>
      </c>
      <c r="BU4" s="54" t="str">
        <f t="shared" si="1"/>
        <v>--</v>
      </c>
      <c r="BV4" s="54" t="str">
        <f t="shared" si="1"/>
        <v>--</v>
      </c>
      <c r="BW4" s="54" t="str">
        <f t="shared" ref="BW4:DB4" si="2">IF(COUNTIF(BW6:BW70,"Fail"),"Fail",IF(COUNTIF(BW6:BW70,"Pass"),"Pass",IF(COUNTIF(BW6:BW70,"Not Tested"),"NT",IF(COUNTIF(BW6:BW70,"DNA"),"DNA","--"))))</f>
        <v>--</v>
      </c>
      <c r="BX4" s="54" t="str">
        <f t="shared" si="2"/>
        <v>--</v>
      </c>
      <c r="BY4" s="54" t="str">
        <f t="shared" si="2"/>
        <v>--</v>
      </c>
      <c r="BZ4" s="54" t="str">
        <f t="shared" si="2"/>
        <v>--</v>
      </c>
      <c r="CA4" s="54" t="str">
        <f t="shared" si="2"/>
        <v>--</v>
      </c>
      <c r="CB4" s="54" t="str">
        <f t="shared" si="2"/>
        <v>--</v>
      </c>
      <c r="CC4" s="54" t="str">
        <f t="shared" si="2"/>
        <v>--</v>
      </c>
      <c r="CD4" s="54" t="str">
        <f t="shared" si="2"/>
        <v>--</v>
      </c>
      <c r="CE4" s="54" t="str">
        <f t="shared" si="2"/>
        <v>--</v>
      </c>
      <c r="CF4" s="54" t="str">
        <f t="shared" si="2"/>
        <v>--</v>
      </c>
      <c r="CG4" s="54" t="str">
        <f t="shared" si="2"/>
        <v>--</v>
      </c>
      <c r="CH4" s="54" t="str">
        <f t="shared" si="2"/>
        <v>--</v>
      </c>
      <c r="CI4" s="54" t="str">
        <f t="shared" si="2"/>
        <v>--</v>
      </c>
      <c r="CJ4" s="54" t="str">
        <f t="shared" si="2"/>
        <v>--</v>
      </c>
      <c r="CK4" s="54" t="str">
        <f t="shared" si="2"/>
        <v>--</v>
      </c>
      <c r="CL4" s="54" t="str">
        <f t="shared" si="2"/>
        <v>--</v>
      </c>
      <c r="CM4" s="54" t="str">
        <f t="shared" si="2"/>
        <v>--</v>
      </c>
      <c r="CN4" s="54" t="str">
        <f t="shared" si="2"/>
        <v>--</v>
      </c>
      <c r="CO4" s="54" t="str">
        <f t="shared" si="2"/>
        <v>--</v>
      </c>
      <c r="CP4" s="54" t="str">
        <f t="shared" si="2"/>
        <v>--</v>
      </c>
      <c r="CQ4" s="54" t="str">
        <f t="shared" si="2"/>
        <v>--</v>
      </c>
      <c r="CR4" s="54" t="str">
        <f t="shared" si="2"/>
        <v>--</v>
      </c>
      <c r="CS4" s="54" t="str">
        <f t="shared" si="2"/>
        <v>--</v>
      </c>
      <c r="CT4" s="54" t="str">
        <f t="shared" si="2"/>
        <v>--</v>
      </c>
      <c r="CU4" s="54" t="str">
        <f t="shared" si="2"/>
        <v>--</v>
      </c>
      <c r="CV4" s="54" t="str">
        <f t="shared" si="2"/>
        <v>--</v>
      </c>
      <c r="CW4" s="54" t="str">
        <f t="shared" si="2"/>
        <v>--</v>
      </c>
      <c r="CX4" s="54" t="str">
        <f t="shared" si="2"/>
        <v>--</v>
      </c>
      <c r="CY4" s="54" t="str">
        <f t="shared" si="2"/>
        <v>--</v>
      </c>
      <c r="CZ4" s="54" t="str">
        <f t="shared" si="2"/>
        <v>--</v>
      </c>
      <c r="DA4" s="54" t="str">
        <f t="shared" si="2"/>
        <v>--</v>
      </c>
      <c r="DB4" s="54" t="str">
        <f t="shared" si="2"/>
        <v>--</v>
      </c>
      <c r="DC4" s="54" t="str">
        <f t="shared" ref="DC4:DO4" si="3">IF(COUNTIF(DC6:DC70,"Fail"),"Fail",IF(COUNTIF(DC6:DC70,"Pass"),"Pass",IF(COUNTIF(DC6:DC70,"Not Tested"),"NT",IF(COUNTIF(DC6:DC70,"DNA"),"DNA","--"))))</f>
        <v>--</v>
      </c>
      <c r="DD4" s="54" t="str">
        <f t="shared" si="3"/>
        <v>--</v>
      </c>
      <c r="DE4" s="54" t="str">
        <f t="shared" si="3"/>
        <v>--</v>
      </c>
      <c r="DF4" s="54" t="str">
        <f t="shared" si="3"/>
        <v>--</v>
      </c>
      <c r="DG4" s="54" t="str">
        <f t="shared" si="3"/>
        <v>--</v>
      </c>
      <c r="DH4" s="54" t="str">
        <f t="shared" si="3"/>
        <v>--</v>
      </c>
      <c r="DI4" s="54" t="str">
        <f t="shared" si="3"/>
        <v>--</v>
      </c>
      <c r="DJ4" s="54" t="str">
        <f t="shared" si="3"/>
        <v>--</v>
      </c>
      <c r="DK4" s="54" t="str">
        <f t="shared" si="3"/>
        <v>--</v>
      </c>
      <c r="DL4" s="54" t="str">
        <f t="shared" si="3"/>
        <v>--</v>
      </c>
      <c r="DM4" s="54" t="str">
        <f t="shared" si="3"/>
        <v>--</v>
      </c>
      <c r="DN4" s="54" t="str">
        <f t="shared" si="3"/>
        <v>--</v>
      </c>
      <c r="DO4" s="54" t="str">
        <f t="shared" si="3"/>
        <v>--</v>
      </c>
    </row>
    <row r="5" spans="1:119" s="16" customFormat="1" ht="70.5" customHeight="1" thickBot="1">
      <c r="A5" s="31" t="s">
        <v>281</v>
      </c>
      <c r="B5" s="31" t="s">
        <v>9</v>
      </c>
      <c r="C5" s="32" t="s">
        <v>280</v>
      </c>
      <c r="D5" s="32" t="s">
        <v>216</v>
      </c>
      <c r="E5" s="31" t="s">
        <v>278</v>
      </c>
      <c r="F5" s="32" t="s">
        <v>18</v>
      </c>
      <c r="G5" s="32" t="s">
        <v>7</v>
      </c>
      <c r="H5" s="32" t="s">
        <v>10</v>
      </c>
      <c r="I5" s="32" t="s">
        <v>132</v>
      </c>
      <c r="J5" s="33" t="s">
        <v>119</v>
      </c>
      <c r="K5" s="136" t="s">
        <v>219</v>
      </c>
      <c r="L5" s="136" t="s">
        <v>218</v>
      </c>
      <c r="M5" s="136" t="s">
        <v>217</v>
      </c>
      <c r="N5" s="136" t="s">
        <v>286</v>
      </c>
      <c r="O5" s="136" t="s">
        <v>220</v>
      </c>
      <c r="P5" s="136" t="s">
        <v>221</v>
      </c>
      <c r="Q5" s="136" t="s">
        <v>291</v>
      </c>
      <c r="R5" s="136" t="s">
        <v>222</v>
      </c>
      <c r="S5" s="136" t="s">
        <v>223</v>
      </c>
      <c r="T5" s="136" t="s">
        <v>224</v>
      </c>
      <c r="U5" s="136" t="s">
        <v>225</v>
      </c>
      <c r="V5" s="136" t="s">
        <v>226</v>
      </c>
      <c r="W5" s="136" t="s">
        <v>227</v>
      </c>
      <c r="X5" s="136" t="s">
        <v>228</v>
      </c>
      <c r="Y5" s="136" t="s">
        <v>229</v>
      </c>
      <c r="Z5" s="136" t="s">
        <v>230</v>
      </c>
      <c r="AA5" s="136" t="s">
        <v>231</v>
      </c>
      <c r="AB5" s="136" t="s">
        <v>232</v>
      </c>
      <c r="AC5" s="136" t="s">
        <v>233</v>
      </c>
      <c r="AD5" s="136" t="s">
        <v>234</v>
      </c>
      <c r="AE5" s="136" t="s">
        <v>298</v>
      </c>
      <c r="AF5" s="136" t="s">
        <v>235</v>
      </c>
      <c r="AG5" s="136" t="s">
        <v>236</v>
      </c>
      <c r="AH5" s="136" t="s">
        <v>237</v>
      </c>
      <c r="AI5" s="136" t="s">
        <v>238</v>
      </c>
      <c r="AJ5" s="136" t="s">
        <v>300</v>
      </c>
      <c r="AK5" s="136" t="s">
        <v>239</v>
      </c>
      <c r="AL5" s="136" t="s">
        <v>240</v>
      </c>
      <c r="AM5" s="136" t="s">
        <v>273</v>
      </c>
      <c r="AN5" s="136" t="s">
        <v>241</v>
      </c>
      <c r="AO5" s="136" t="s">
        <v>242</v>
      </c>
      <c r="AP5" s="136" t="s">
        <v>243</v>
      </c>
      <c r="AQ5" s="136" t="s">
        <v>244</v>
      </c>
      <c r="AR5" s="136" t="s">
        <v>245</v>
      </c>
      <c r="AS5" s="136" t="s">
        <v>309</v>
      </c>
      <c r="AT5" s="136" t="s">
        <v>246</v>
      </c>
      <c r="AU5" s="136" t="s">
        <v>247</v>
      </c>
      <c r="AV5" s="136" t="s">
        <v>248</v>
      </c>
      <c r="AW5" s="136" t="s">
        <v>249</v>
      </c>
      <c r="AX5" s="136" t="s">
        <v>250</v>
      </c>
      <c r="AY5" s="136" t="s">
        <v>251</v>
      </c>
      <c r="AZ5" s="136" t="s">
        <v>252</v>
      </c>
      <c r="BA5" s="136" t="s">
        <v>253</v>
      </c>
      <c r="BB5" s="136" t="s">
        <v>254</v>
      </c>
      <c r="BC5" s="136" t="s">
        <v>255</v>
      </c>
      <c r="BD5" s="136" t="s">
        <v>256</v>
      </c>
      <c r="BE5" s="136" t="s">
        <v>257</v>
      </c>
      <c r="BF5" s="136" t="s">
        <v>258</v>
      </c>
      <c r="BG5" s="136" t="s">
        <v>259</v>
      </c>
      <c r="BH5" s="136" t="s">
        <v>260</v>
      </c>
      <c r="BI5" s="136" t="s">
        <v>261</v>
      </c>
      <c r="BJ5" s="136" t="s">
        <v>262</v>
      </c>
      <c r="BK5" s="136" t="s">
        <v>263</v>
      </c>
      <c r="BL5" s="136" t="s">
        <v>264</v>
      </c>
      <c r="BM5" s="136" t="s">
        <v>328</v>
      </c>
      <c r="BN5" s="136" t="s">
        <v>329</v>
      </c>
      <c r="BO5" s="136" t="s">
        <v>265</v>
      </c>
      <c r="BP5" s="136" t="s">
        <v>266</v>
      </c>
      <c r="BQ5" s="136" t="s">
        <v>267</v>
      </c>
      <c r="BR5" s="136" t="s">
        <v>268</v>
      </c>
      <c r="BS5" s="136" t="s">
        <v>269</v>
      </c>
      <c r="BT5" s="136" t="s">
        <v>270</v>
      </c>
      <c r="BU5" s="136" t="s">
        <v>333</v>
      </c>
      <c r="BV5" s="136" t="s">
        <v>271</v>
      </c>
      <c r="BW5" s="136" t="s">
        <v>334</v>
      </c>
      <c r="BX5" s="136" t="s">
        <v>336</v>
      </c>
      <c r="BY5" s="137" t="s">
        <v>272</v>
      </c>
      <c r="BZ5" s="133" t="s">
        <v>162</v>
      </c>
      <c r="CA5" s="133" t="s">
        <v>163</v>
      </c>
      <c r="CB5" s="133" t="s">
        <v>164</v>
      </c>
      <c r="CC5" s="133" t="s">
        <v>165</v>
      </c>
      <c r="CD5" s="133" t="s">
        <v>166</v>
      </c>
      <c r="CE5" s="133" t="s">
        <v>167</v>
      </c>
      <c r="CF5" s="133" t="s">
        <v>168</v>
      </c>
      <c r="CG5" s="133" t="s">
        <v>169</v>
      </c>
      <c r="CH5" s="133" t="s">
        <v>170</v>
      </c>
      <c r="CI5" s="133" t="s">
        <v>171</v>
      </c>
      <c r="CJ5" s="133" t="s">
        <v>172</v>
      </c>
      <c r="CK5" s="133" t="s">
        <v>173</v>
      </c>
      <c r="CL5" s="133" t="s">
        <v>174</v>
      </c>
      <c r="CM5" s="133" t="s">
        <v>175</v>
      </c>
      <c r="CN5" s="133" t="s">
        <v>176</v>
      </c>
      <c r="CO5" s="133" t="s">
        <v>177</v>
      </c>
      <c r="CP5" s="134" t="s">
        <v>178</v>
      </c>
      <c r="CQ5" s="133" t="s">
        <v>179</v>
      </c>
      <c r="CR5" s="133" t="s">
        <v>180</v>
      </c>
      <c r="CS5" s="133" t="s">
        <v>181</v>
      </c>
      <c r="CT5" s="133" t="s">
        <v>182</v>
      </c>
      <c r="CU5" s="133" t="s">
        <v>183</v>
      </c>
      <c r="CV5" s="133" t="s">
        <v>184</v>
      </c>
      <c r="CW5" s="133" t="s">
        <v>185</v>
      </c>
      <c r="CX5" s="133" t="s">
        <v>186</v>
      </c>
      <c r="CY5" s="133" t="s">
        <v>187</v>
      </c>
      <c r="CZ5" s="133" t="s">
        <v>188</v>
      </c>
      <c r="DA5" s="133" t="s">
        <v>189</v>
      </c>
      <c r="DB5" s="133" t="s">
        <v>190</v>
      </c>
      <c r="DC5" s="133" t="s">
        <v>191</v>
      </c>
      <c r="DD5" s="133" t="s">
        <v>192</v>
      </c>
      <c r="DE5" s="133" t="s">
        <v>193</v>
      </c>
      <c r="DF5" s="133" t="s">
        <v>194</v>
      </c>
      <c r="DG5" s="133" t="s">
        <v>195</v>
      </c>
      <c r="DH5" s="133" t="s">
        <v>196</v>
      </c>
      <c r="DI5" s="133" t="s">
        <v>197</v>
      </c>
      <c r="DJ5" s="133" t="s">
        <v>198</v>
      </c>
      <c r="DK5" s="133" t="s">
        <v>199</v>
      </c>
      <c r="DL5" s="133" t="s">
        <v>200</v>
      </c>
      <c r="DM5" s="133" t="s">
        <v>340</v>
      </c>
      <c r="DN5" s="133" t="s">
        <v>279</v>
      </c>
      <c r="DO5" s="133" t="s">
        <v>339</v>
      </c>
    </row>
    <row r="6" spans="1:119" s="17" customFormat="1" ht="28.8">
      <c r="A6" s="51" t="s">
        <v>161</v>
      </c>
      <c r="B6" s="30" t="s">
        <v>122</v>
      </c>
      <c r="C6" s="29" t="s">
        <v>282</v>
      </c>
      <c r="D6" s="130" t="s">
        <v>219</v>
      </c>
      <c r="E6" s="23" t="s">
        <v>162</v>
      </c>
      <c r="F6" s="36" t="s">
        <v>3</v>
      </c>
      <c r="G6" s="37"/>
      <c r="H6" s="37">
        <v>1</v>
      </c>
      <c r="I6" s="37"/>
      <c r="J6" s="116"/>
      <c r="K6" s="56" t="str">
        <f t="shared" ref="K6:BV7" si="4">IFERROR(IF(SEARCH(K$5,$D6),$F6,"-"),"x")</f>
        <v>--</v>
      </c>
      <c r="L6" s="56" t="str">
        <f t="shared" si="4"/>
        <v>x</v>
      </c>
      <c r="M6" s="56" t="str">
        <f t="shared" si="4"/>
        <v>x</v>
      </c>
      <c r="N6" s="56" t="str">
        <f t="shared" si="4"/>
        <v>x</v>
      </c>
      <c r="O6" s="56" t="str">
        <f t="shared" si="4"/>
        <v>x</v>
      </c>
      <c r="P6" s="56" t="str">
        <f t="shared" si="4"/>
        <v>x</v>
      </c>
      <c r="Q6" s="56" t="str">
        <f t="shared" si="4"/>
        <v>x</v>
      </c>
      <c r="R6" s="56" t="str">
        <f t="shared" si="4"/>
        <v>x</v>
      </c>
      <c r="S6" s="56" t="str">
        <f t="shared" si="4"/>
        <v>x</v>
      </c>
      <c r="T6" s="56" t="str">
        <f t="shared" si="4"/>
        <v>x</v>
      </c>
      <c r="U6" s="56" t="str">
        <f t="shared" si="4"/>
        <v>x</v>
      </c>
      <c r="V6" s="56" t="str">
        <f t="shared" si="4"/>
        <v>x</v>
      </c>
      <c r="W6" s="56" t="str">
        <f t="shared" si="4"/>
        <v>x</v>
      </c>
      <c r="X6" s="56" t="str">
        <f t="shared" si="4"/>
        <v>x</v>
      </c>
      <c r="Y6" s="56" t="str">
        <f t="shared" si="4"/>
        <v>x</v>
      </c>
      <c r="Z6" s="56" t="str">
        <f t="shared" si="4"/>
        <v>x</v>
      </c>
      <c r="AA6" s="56" t="str">
        <f t="shared" si="4"/>
        <v>x</v>
      </c>
      <c r="AB6" s="56" t="str">
        <f t="shared" si="4"/>
        <v>x</v>
      </c>
      <c r="AC6" s="56" t="str">
        <f t="shared" si="4"/>
        <v>x</v>
      </c>
      <c r="AD6" s="56" t="str">
        <f t="shared" si="4"/>
        <v>x</v>
      </c>
      <c r="AE6" s="56" t="str">
        <f t="shared" si="4"/>
        <v>x</v>
      </c>
      <c r="AF6" s="56" t="str">
        <f t="shared" si="4"/>
        <v>x</v>
      </c>
      <c r="AG6" s="56" t="str">
        <f t="shared" si="4"/>
        <v>x</v>
      </c>
      <c r="AH6" s="56" t="str">
        <f t="shared" si="4"/>
        <v>x</v>
      </c>
      <c r="AI6" s="56" t="str">
        <f t="shared" si="4"/>
        <v>x</v>
      </c>
      <c r="AJ6" s="56" t="str">
        <f t="shared" si="4"/>
        <v>x</v>
      </c>
      <c r="AK6" s="56" t="str">
        <f t="shared" si="4"/>
        <v>x</v>
      </c>
      <c r="AL6" s="56" t="str">
        <f t="shared" si="4"/>
        <v>x</v>
      </c>
      <c r="AM6" s="56" t="str">
        <f t="shared" si="4"/>
        <v>x</v>
      </c>
      <c r="AN6" s="56" t="str">
        <f t="shared" si="4"/>
        <v>x</v>
      </c>
      <c r="AO6" s="56" t="str">
        <f t="shared" si="4"/>
        <v>x</v>
      </c>
      <c r="AP6" s="56" t="str">
        <f t="shared" si="4"/>
        <v>x</v>
      </c>
      <c r="AQ6" s="56" t="str">
        <f t="shared" si="4"/>
        <v>x</v>
      </c>
      <c r="AR6" s="56" t="str">
        <f t="shared" si="4"/>
        <v>x</v>
      </c>
      <c r="AS6" s="56" t="str">
        <f t="shared" si="4"/>
        <v>x</v>
      </c>
      <c r="AT6" s="56" t="str">
        <f t="shared" si="4"/>
        <v>x</v>
      </c>
      <c r="AU6" s="56" t="str">
        <f t="shared" si="4"/>
        <v>x</v>
      </c>
      <c r="AV6" s="56" t="str">
        <f t="shared" si="4"/>
        <v>x</v>
      </c>
      <c r="AW6" s="56" t="str">
        <f t="shared" si="4"/>
        <v>x</v>
      </c>
      <c r="AX6" s="56" t="str">
        <f t="shared" si="4"/>
        <v>x</v>
      </c>
      <c r="AY6" s="56" t="str">
        <f t="shared" si="4"/>
        <v>x</v>
      </c>
      <c r="AZ6" s="56" t="str">
        <f t="shared" si="4"/>
        <v>x</v>
      </c>
      <c r="BA6" s="56" t="str">
        <f t="shared" si="4"/>
        <v>x</v>
      </c>
      <c r="BB6" s="56" t="str">
        <f t="shared" si="4"/>
        <v>x</v>
      </c>
      <c r="BC6" s="56" t="str">
        <f t="shared" si="4"/>
        <v>x</v>
      </c>
      <c r="BD6" s="56" t="str">
        <f t="shared" si="4"/>
        <v>x</v>
      </c>
      <c r="BE6" s="56" t="str">
        <f t="shared" si="4"/>
        <v>x</v>
      </c>
      <c r="BF6" s="56" t="str">
        <f t="shared" si="4"/>
        <v>x</v>
      </c>
      <c r="BG6" s="56" t="str">
        <f t="shared" si="4"/>
        <v>x</v>
      </c>
      <c r="BH6" s="56" t="str">
        <f t="shared" si="4"/>
        <v>x</v>
      </c>
      <c r="BI6" s="56" t="str">
        <f t="shared" si="4"/>
        <v>x</v>
      </c>
      <c r="BJ6" s="56" t="str">
        <f t="shared" si="4"/>
        <v>x</v>
      </c>
      <c r="BK6" s="56" t="str">
        <f t="shared" si="4"/>
        <v>x</v>
      </c>
      <c r="BL6" s="56" t="str">
        <f t="shared" si="4"/>
        <v>x</v>
      </c>
      <c r="BM6" s="56" t="str">
        <f t="shared" si="4"/>
        <v>x</v>
      </c>
      <c r="BN6" s="56" t="str">
        <f t="shared" si="4"/>
        <v>x</v>
      </c>
      <c r="BO6" s="56" t="str">
        <f t="shared" si="4"/>
        <v>x</v>
      </c>
      <c r="BP6" s="56" t="str">
        <f t="shared" si="4"/>
        <v>x</v>
      </c>
      <c r="BQ6" s="56" t="str">
        <f t="shared" si="4"/>
        <v>x</v>
      </c>
      <c r="BR6" s="56" t="str">
        <f t="shared" si="4"/>
        <v>x</v>
      </c>
      <c r="BS6" s="56" t="str">
        <f t="shared" si="4"/>
        <v>x</v>
      </c>
      <c r="BT6" s="56" t="str">
        <f t="shared" si="4"/>
        <v>x</v>
      </c>
      <c r="BU6" s="56" t="str">
        <f t="shared" si="4"/>
        <v>x</v>
      </c>
      <c r="BV6" s="56" t="str">
        <f t="shared" si="4"/>
        <v>x</v>
      </c>
      <c r="BW6" s="56" t="str">
        <f t="shared" ref="BW6:BY7" si="5">IFERROR(IF(SEARCH(BW$5,$D6),$F6,"-"),"x")</f>
        <v>x</v>
      </c>
      <c r="BX6" s="56" t="str">
        <f t="shared" si="5"/>
        <v>x</v>
      </c>
      <c r="BY6" s="56" t="str">
        <f t="shared" si="5"/>
        <v>x</v>
      </c>
      <c r="BZ6" s="56" t="str">
        <f>IFERROR(IF(SEARCH(BZ$5,$E6),$F6,"-"),"x")</f>
        <v>--</v>
      </c>
      <c r="CA6" s="56" t="str">
        <f t="shared" ref="CA6:DM22" si="6">IFERROR(IF(SEARCH(CA$5,$E6),$F6,"-"),"x")</f>
        <v>x</v>
      </c>
      <c r="CB6" s="56" t="str">
        <f t="shared" si="6"/>
        <v>x</v>
      </c>
      <c r="CC6" s="56" t="str">
        <f t="shared" si="6"/>
        <v>x</v>
      </c>
      <c r="CD6" s="56" t="str">
        <f t="shared" si="6"/>
        <v>x</v>
      </c>
      <c r="CE6" s="56" t="str">
        <f t="shared" si="6"/>
        <v>x</v>
      </c>
      <c r="CF6" s="56" t="str">
        <f t="shared" si="6"/>
        <v>x</v>
      </c>
      <c r="CG6" s="56" t="str">
        <f t="shared" si="6"/>
        <v>x</v>
      </c>
      <c r="CH6" s="56" t="str">
        <f t="shared" si="6"/>
        <v>x</v>
      </c>
      <c r="CI6" s="56" t="str">
        <f t="shared" si="6"/>
        <v>x</v>
      </c>
      <c r="CJ6" s="56" t="str">
        <f t="shared" si="6"/>
        <v>x</v>
      </c>
      <c r="CK6" s="56" t="str">
        <f t="shared" si="6"/>
        <v>x</v>
      </c>
      <c r="CL6" s="56" t="str">
        <f t="shared" si="6"/>
        <v>x</v>
      </c>
      <c r="CM6" s="56" t="str">
        <f t="shared" si="6"/>
        <v>x</v>
      </c>
      <c r="CN6" s="56" t="str">
        <f t="shared" si="6"/>
        <v>x</v>
      </c>
      <c r="CO6" s="56" t="str">
        <f t="shared" si="6"/>
        <v>x</v>
      </c>
      <c r="CP6" s="56" t="str">
        <f t="shared" si="6"/>
        <v>x</v>
      </c>
      <c r="CQ6" s="56" t="str">
        <f t="shared" si="6"/>
        <v>x</v>
      </c>
      <c r="CR6" s="56" t="str">
        <f t="shared" si="6"/>
        <v>x</v>
      </c>
      <c r="CS6" s="56" t="str">
        <f t="shared" si="6"/>
        <v>x</v>
      </c>
      <c r="CT6" s="56" t="str">
        <f t="shared" si="6"/>
        <v>x</v>
      </c>
      <c r="CU6" s="56" t="str">
        <f t="shared" si="6"/>
        <v>x</v>
      </c>
      <c r="CV6" s="56" t="str">
        <f t="shared" si="6"/>
        <v>x</v>
      </c>
      <c r="CW6" s="56" t="str">
        <f t="shared" si="6"/>
        <v>x</v>
      </c>
      <c r="CX6" s="56" t="str">
        <f t="shared" si="6"/>
        <v>x</v>
      </c>
      <c r="CY6" s="56" t="str">
        <f t="shared" si="6"/>
        <v>x</v>
      </c>
      <c r="CZ6" s="56" t="str">
        <f t="shared" si="6"/>
        <v>x</v>
      </c>
      <c r="DA6" s="56" t="str">
        <f t="shared" si="6"/>
        <v>x</v>
      </c>
      <c r="DB6" s="56" t="str">
        <f t="shared" si="6"/>
        <v>x</v>
      </c>
      <c r="DC6" s="56" t="str">
        <f t="shared" si="6"/>
        <v>x</v>
      </c>
      <c r="DD6" s="56" t="str">
        <f t="shared" si="6"/>
        <v>x</v>
      </c>
      <c r="DE6" s="56" t="str">
        <f t="shared" si="6"/>
        <v>x</v>
      </c>
      <c r="DF6" s="56" t="str">
        <f t="shared" si="6"/>
        <v>x</v>
      </c>
      <c r="DG6" s="56" t="str">
        <f t="shared" si="6"/>
        <v>x</v>
      </c>
      <c r="DH6" s="56" t="str">
        <f t="shared" si="6"/>
        <v>x</v>
      </c>
      <c r="DI6" s="56" t="str">
        <f t="shared" si="6"/>
        <v>x</v>
      </c>
      <c r="DJ6" s="56" t="str">
        <f t="shared" si="6"/>
        <v>x</v>
      </c>
      <c r="DK6" s="56" t="str">
        <f t="shared" si="6"/>
        <v>x</v>
      </c>
      <c r="DL6" s="56" t="str">
        <f t="shared" si="6"/>
        <v>x</v>
      </c>
      <c r="DM6" s="56" t="str">
        <f t="shared" si="6"/>
        <v>x</v>
      </c>
      <c r="DN6" s="56" t="str">
        <f t="shared" ref="DN6:DO22" si="7">IFERROR(IF(SEARCH(DN$5,$E6),$F6,"-"),"x")</f>
        <v>x</v>
      </c>
      <c r="DO6" s="56" t="str">
        <f t="shared" si="7"/>
        <v>x</v>
      </c>
    </row>
    <row r="7" spans="1:119" s="7" customFormat="1" ht="28.8">
      <c r="A7" s="52"/>
      <c r="B7" s="30" t="s">
        <v>123</v>
      </c>
      <c r="C7" s="29" t="s">
        <v>283</v>
      </c>
      <c r="D7" s="130" t="s">
        <v>218</v>
      </c>
      <c r="E7" s="23" t="s">
        <v>162</v>
      </c>
      <c r="F7" s="36" t="s">
        <v>3</v>
      </c>
      <c r="G7" s="37"/>
      <c r="H7" s="37">
        <v>1</v>
      </c>
      <c r="I7" s="37"/>
      <c r="J7" s="117"/>
      <c r="K7" s="56" t="str">
        <f t="shared" ref="K7:T23" si="8">IFERROR(IF(SEARCH(K$5,$D7),$F7,"-"),"x")</f>
        <v>x</v>
      </c>
      <c r="L7" s="56" t="str">
        <f t="shared" si="8"/>
        <v>--</v>
      </c>
      <c r="M7" s="56" t="str">
        <f t="shared" si="8"/>
        <v>x</v>
      </c>
      <c r="N7" s="56" t="str">
        <f t="shared" si="8"/>
        <v>x</v>
      </c>
      <c r="O7" s="56" t="str">
        <f t="shared" si="8"/>
        <v>x</v>
      </c>
      <c r="P7" s="56" t="str">
        <f t="shared" si="8"/>
        <v>x</v>
      </c>
      <c r="Q7" s="56" t="str">
        <f t="shared" si="8"/>
        <v>x</v>
      </c>
      <c r="R7" s="56" t="str">
        <f t="shared" si="8"/>
        <v>x</v>
      </c>
      <c r="S7" s="56" t="str">
        <f t="shared" si="8"/>
        <v>x</v>
      </c>
      <c r="T7" s="56" t="str">
        <f t="shared" si="8"/>
        <v>x</v>
      </c>
      <c r="U7" s="56" t="str">
        <f t="shared" ref="U7:AJ23" si="9">IFERROR(IF(SEARCH(U$5,$D7),$F7,"-"),"x")</f>
        <v>x</v>
      </c>
      <c r="V7" s="56" t="str">
        <f t="shared" si="9"/>
        <v>x</v>
      </c>
      <c r="W7" s="56" t="str">
        <f t="shared" si="9"/>
        <v>x</v>
      </c>
      <c r="X7" s="56" t="str">
        <f t="shared" si="9"/>
        <v>x</v>
      </c>
      <c r="Y7" s="56" t="str">
        <f t="shared" si="9"/>
        <v>x</v>
      </c>
      <c r="Z7" s="56" t="str">
        <f t="shared" si="9"/>
        <v>x</v>
      </c>
      <c r="AA7" s="56" t="str">
        <f t="shared" si="9"/>
        <v>x</v>
      </c>
      <c r="AB7" s="56" t="str">
        <f t="shared" si="9"/>
        <v>x</v>
      </c>
      <c r="AC7" s="56" t="str">
        <f t="shared" si="9"/>
        <v>x</v>
      </c>
      <c r="AD7" s="56" t="str">
        <f t="shared" si="9"/>
        <v>x</v>
      </c>
      <c r="AE7" s="56" t="str">
        <f t="shared" ref="AE7:AT16" si="10">IFERROR(IF(SEARCH(AE$5,$D7),$F7,"-"),"x")</f>
        <v>x</v>
      </c>
      <c r="AF7" s="56" t="str">
        <f t="shared" si="10"/>
        <v>x</v>
      </c>
      <c r="AG7" s="56" t="str">
        <f t="shared" si="10"/>
        <v>x</v>
      </c>
      <c r="AH7" s="56" t="str">
        <f t="shared" si="10"/>
        <v>x</v>
      </c>
      <c r="AI7" s="56" t="str">
        <f t="shared" si="10"/>
        <v>x</v>
      </c>
      <c r="AJ7" s="56" t="str">
        <f t="shared" si="10"/>
        <v>x</v>
      </c>
      <c r="AK7" s="56" t="str">
        <f t="shared" si="10"/>
        <v>x</v>
      </c>
      <c r="AL7" s="56" t="str">
        <f t="shared" si="10"/>
        <v>x</v>
      </c>
      <c r="AM7" s="56" t="str">
        <f t="shared" si="10"/>
        <v>x</v>
      </c>
      <c r="AN7" s="56" t="str">
        <f t="shared" si="10"/>
        <v>x</v>
      </c>
      <c r="AO7" s="56" t="str">
        <f t="shared" si="10"/>
        <v>x</v>
      </c>
      <c r="AP7" s="56" t="str">
        <f t="shared" si="10"/>
        <v>x</v>
      </c>
      <c r="AQ7" s="56" t="str">
        <f t="shared" si="10"/>
        <v>x</v>
      </c>
      <c r="AR7" s="56" t="str">
        <f t="shared" si="10"/>
        <v>x</v>
      </c>
      <c r="AS7" s="56" t="str">
        <f t="shared" si="10"/>
        <v>x</v>
      </c>
      <c r="AT7" s="56" t="str">
        <f t="shared" si="10"/>
        <v>x</v>
      </c>
      <c r="AU7" s="56" t="str">
        <f t="shared" si="4"/>
        <v>x</v>
      </c>
      <c r="AV7" s="56" t="str">
        <f t="shared" si="4"/>
        <v>x</v>
      </c>
      <c r="AW7" s="56" t="str">
        <f t="shared" si="4"/>
        <v>x</v>
      </c>
      <c r="AX7" s="56" t="str">
        <f t="shared" si="4"/>
        <v>x</v>
      </c>
      <c r="AY7" s="56" t="str">
        <f t="shared" si="4"/>
        <v>x</v>
      </c>
      <c r="AZ7" s="56" t="str">
        <f t="shared" si="4"/>
        <v>x</v>
      </c>
      <c r="BA7" s="56" t="str">
        <f t="shared" si="4"/>
        <v>x</v>
      </c>
      <c r="BB7" s="56" t="str">
        <f t="shared" si="4"/>
        <v>x</v>
      </c>
      <c r="BC7" s="56" t="str">
        <f t="shared" si="4"/>
        <v>x</v>
      </c>
      <c r="BD7" s="56" t="str">
        <f t="shared" si="4"/>
        <v>x</v>
      </c>
      <c r="BE7" s="56" t="str">
        <f t="shared" si="4"/>
        <v>x</v>
      </c>
      <c r="BF7" s="56" t="str">
        <f t="shared" si="4"/>
        <v>x</v>
      </c>
      <c r="BG7" s="56" t="str">
        <f t="shared" si="4"/>
        <v>x</v>
      </c>
      <c r="BH7" s="56" t="str">
        <f t="shared" si="4"/>
        <v>x</v>
      </c>
      <c r="BI7" s="56" t="str">
        <f t="shared" si="4"/>
        <v>x</v>
      </c>
      <c r="BJ7" s="56" t="str">
        <f t="shared" si="4"/>
        <v>x</v>
      </c>
      <c r="BK7" s="56" t="str">
        <f t="shared" si="4"/>
        <v>x</v>
      </c>
      <c r="BL7" s="56" t="str">
        <f t="shared" si="4"/>
        <v>x</v>
      </c>
      <c r="BM7" s="56" t="str">
        <f t="shared" si="4"/>
        <v>x</v>
      </c>
      <c r="BN7" s="56" t="str">
        <f t="shared" si="4"/>
        <v>x</v>
      </c>
      <c r="BO7" s="56" t="str">
        <f t="shared" si="4"/>
        <v>x</v>
      </c>
      <c r="BP7" s="56" t="str">
        <f t="shared" si="4"/>
        <v>x</v>
      </c>
      <c r="BQ7" s="56" t="str">
        <f t="shared" si="4"/>
        <v>x</v>
      </c>
      <c r="BR7" s="56" t="str">
        <f t="shared" si="4"/>
        <v>x</v>
      </c>
      <c r="BS7" s="56" t="str">
        <f t="shared" si="4"/>
        <v>x</v>
      </c>
      <c r="BT7" s="56" t="str">
        <f t="shared" si="4"/>
        <v>x</v>
      </c>
      <c r="BU7" s="56" t="str">
        <f t="shared" si="4"/>
        <v>x</v>
      </c>
      <c r="BV7" s="56" t="str">
        <f t="shared" si="4"/>
        <v>x</v>
      </c>
      <c r="BW7" s="56" t="str">
        <f t="shared" si="5"/>
        <v>x</v>
      </c>
      <c r="BX7" s="56" t="str">
        <f t="shared" si="5"/>
        <v>x</v>
      </c>
      <c r="BY7" s="56" t="str">
        <f t="shared" si="5"/>
        <v>x</v>
      </c>
      <c r="BZ7" s="56" t="str">
        <f t="shared" ref="BZ7:CO24" si="11">IFERROR(IF(SEARCH(BZ$5,$E7),$F7,"-"),"x")</f>
        <v>--</v>
      </c>
      <c r="CA7" s="56" t="str">
        <f t="shared" si="11"/>
        <v>x</v>
      </c>
      <c r="CB7" s="56" t="str">
        <f t="shared" si="11"/>
        <v>x</v>
      </c>
      <c r="CC7" s="56" t="str">
        <f t="shared" si="11"/>
        <v>x</v>
      </c>
      <c r="CD7" s="56" t="str">
        <f t="shared" si="11"/>
        <v>x</v>
      </c>
      <c r="CE7" s="56" t="str">
        <f t="shared" si="11"/>
        <v>x</v>
      </c>
      <c r="CF7" s="56" t="str">
        <f t="shared" si="11"/>
        <v>x</v>
      </c>
      <c r="CG7" s="56" t="str">
        <f t="shared" si="11"/>
        <v>x</v>
      </c>
      <c r="CH7" s="56" t="str">
        <f t="shared" si="11"/>
        <v>x</v>
      </c>
      <c r="CI7" s="56" t="str">
        <f t="shared" si="11"/>
        <v>x</v>
      </c>
      <c r="CJ7" s="56" t="str">
        <f t="shared" si="11"/>
        <v>x</v>
      </c>
      <c r="CK7" s="56" t="str">
        <f t="shared" si="11"/>
        <v>x</v>
      </c>
      <c r="CL7" s="56" t="str">
        <f t="shared" si="11"/>
        <v>x</v>
      </c>
      <c r="CM7" s="56" t="str">
        <f t="shared" si="6"/>
        <v>x</v>
      </c>
      <c r="CN7" s="56" t="str">
        <f t="shared" si="6"/>
        <v>x</v>
      </c>
      <c r="CO7" s="56" t="str">
        <f t="shared" si="6"/>
        <v>x</v>
      </c>
      <c r="CP7" s="56" t="str">
        <f t="shared" si="6"/>
        <v>x</v>
      </c>
      <c r="CQ7" s="56" t="str">
        <f t="shared" si="6"/>
        <v>x</v>
      </c>
      <c r="CR7" s="56" t="str">
        <f t="shared" si="6"/>
        <v>x</v>
      </c>
      <c r="CS7" s="56" t="str">
        <f t="shared" si="6"/>
        <v>x</v>
      </c>
      <c r="CT7" s="56" t="str">
        <f t="shared" si="6"/>
        <v>x</v>
      </c>
      <c r="CU7" s="56" t="str">
        <f t="shared" si="6"/>
        <v>x</v>
      </c>
      <c r="CV7" s="56" t="str">
        <f t="shared" si="6"/>
        <v>x</v>
      </c>
      <c r="CW7" s="56" t="str">
        <f t="shared" si="6"/>
        <v>x</v>
      </c>
      <c r="CX7" s="56" t="str">
        <f t="shared" si="6"/>
        <v>x</v>
      </c>
      <c r="CY7" s="56" t="str">
        <f t="shared" si="6"/>
        <v>x</v>
      </c>
      <c r="CZ7" s="56" t="str">
        <f t="shared" si="6"/>
        <v>x</v>
      </c>
      <c r="DA7" s="56" t="str">
        <f t="shared" si="6"/>
        <v>x</v>
      </c>
      <c r="DB7" s="56" t="str">
        <f t="shared" si="6"/>
        <v>x</v>
      </c>
      <c r="DC7" s="56" t="str">
        <f t="shared" si="6"/>
        <v>x</v>
      </c>
      <c r="DD7" s="56" t="str">
        <f t="shared" si="6"/>
        <v>x</v>
      </c>
      <c r="DE7" s="56" t="str">
        <f t="shared" si="6"/>
        <v>x</v>
      </c>
      <c r="DF7" s="56" t="str">
        <f t="shared" si="6"/>
        <v>x</v>
      </c>
      <c r="DG7" s="56" t="str">
        <f t="shared" si="6"/>
        <v>x</v>
      </c>
      <c r="DH7" s="56" t="str">
        <f t="shared" si="6"/>
        <v>x</v>
      </c>
      <c r="DI7" s="56" t="str">
        <f t="shared" si="6"/>
        <v>x</v>
      </c>
      <c r="DJ7" s="56" t="str">
        <f t="shared" si="6"/>
        <v>x</v>
      </c>
      <c r="DK7" s="56" t="str">
        <f t="shared" si="6"/>
        <v>x</v>
      </c>
      <c r="DL7" s="56" t="str">
        <f t="shared" si="6"/>
        <v>x</v>
      </c>
      <c r="DM7" s="56" t="str">
        <f t="shared" si="6"/>
        <v>x</v>
      </c>
      <c r="DN7" s="56" t="str">
        <f t="shared" si="7"/>
        <v>x</v>
      </c>
      <c r="DO7" s="56" t="str">
        <f t="shared" si="7"/>
        <v>x</v>
      </c>
    </row>
    <row r="8" spans="1:119" s="7" customFormat="1" ht="28.8">
      <c r="A8" s="52"/>
      <c r="B8" s="30" t="s">
        <v>12</v>
      </c>
      <c r="C8" s="29" t="s">
        <v>284</v>
      </c>
      <c r="D8" s="130" t="s">
        <v>217</v>
      </c>
      <c r="E8" s="23" t="s">
        <v>162</v>
      </c>
      <c r="F8" s="36" t="s">
        <v>3</v>
      </c>
      <c r="G8" s="37"/>
      <c r="H8" s="37">
        <v>1</v>
      </c>
      <c r="I8" s="37"/>
      <c r="J8" s="116"/>
      <c r="K8" s="56" t="str">
        <f t="shared" si="8"/>
        <v>x</v>
      </c>
      <c r="L8" s="56" t="str">
        <f t="shared" si="8"/>
        <v>x</v>
      </c>
      <c r="M8" s="56" t="str">
        <f t="shared" si="8"/>
        <v>--</v>
      </c>
      <c r="N8" s="56" t="str">
        <f t="shared" si="8"/>
        <v>x</v>
      </c>
      <c r="O8" s="56" t="str">
        <f t="shared" si="8"/>
        <v>x</v>
      </c>
      <c r="P8" s="56" t="str">
        <f t="shared" si="8"/>
        <v>x</v>
      </c>
      <c r="Q8" s="56" t="str">
        <f t="shared" si="8"/>
        <v>x</v>
      </c>
      <c r="R8" s="56" t="str">
        <f t="shared" si="8"/>
        <v>x</v>
      </c>
      <c r="S8" s="56" t="str">
        <f t="shared" si="8"/>
        <v>x</v>
      </c>
      <c r="T8" s="56" t="str">
        <f t="shared" si="8"/>
        <v>x</v>
      </c>
      <c r="U8" s="56" t="str">
        <f t="shared" si="9"/>
        <v>x</v>
      </c>
      <c r="V8" s="56" t="str">
        <f t="shared" si="9"/>
        <v>x</v>
      </c>
      <c r="W8" s="56" t="str">
        <f t="shared" si="9"/>
        <v>x</v>
      </c>
      <c r="X8" s="56" t="str">
        <f t="shared" si="9"/>
        <v>x</v>
      </c>
      <c r="Y8" s="56" t="str">
        <f t="shared" si="9"/>
        <v>x</v>
      </c>
      <c r="Z8" s="56" t="str">
        <f t="shared" si="9"/>
        <v>x</v>
      </c>
      <c r="AA8" s="56" t="str">
        <f t="shared" si="9"/>
        <v>x</v>
      </c>
      <c r="AB8" s="56" t="str">
        <f t="shared" si="9"/>
        <v>x</v>
      </c>
      <c r="AC8" s="56" t="str">
        <f t="shared" si="9"/>
        <v>x</v>
      </c>
      <c r="AD8" s="56" t="str">
        <f t="shared" si="9"/>
        <v>x</v>
      </c>
      <c r="AE8" s="56" t="str">
        <f t="shared" si="10"/>
        <v>x</v>
      </c>
      <c r="AF8" s="56" t="str">
        <f t="shared" si="10"/>
        <v>x</v>
      </c>
      <c r="AG8" s="56" t="str">
        <f t="shared" si="10"/>
        <v>x</v>
      </c>
      <c r="AH8" s="56" t="str">
        <f t="shared" si="10"/>
        <v>x</v>
      </c>
      <c r="AI8" s="56" t="str">
        <f t="shared" si="10"/>
        <v>x</v>
      </c>
      <c r="AJ8" s="56" t="str">
        <f t="shared" si="10"/>
        <v>x</v>
      </c>
      <c r="AK8" s="56" t="str">
        <f t="shared" si="10"/>
        <v>x</v>
      </c>
      <c r="AL8" s="56" t="str">
        <f t="shared" si="10"/>
        <v>x</v>
      </c>
      <c r="AM8" s="56" t="str">
        <f t="shared" si="10"/>
        <v>x</v>
      </c>
      <c r="AN8" s="56" t="str">
        <f t="shared" si="10"/>
        <v>x</v>
      </c>
      <c r="AO8" s="56" t="str">
        <f t="shared" si="10"/>
        <v>x</v>
      </c>
      <c r="AP8" s="56" t="str">
        <f t="shared" si="10"/>
        <v>x</v>
      </c>
      <c r="AQ8" s="56" t="str">
        <f t="shared" si="10"/>
        <v>x</v>
      </c>
      <c r="AR8" s="56" t="str">
        <f t="shared" si="10"/>
        <v>x</v>
      </c>
      <c r="AS8" s="56" t="str">
        <f t="shared" si="10"/>
        <v>x</v>
      </c>
      <c r="AT8" s="56" t="str">
        <f t="shared" ref="AT8:BY8" si="12">IFERROR(IF(SEARCH(AT$5,$D8),$F8,"-"),"x")</f>
        <v>x</v>
      </c>
      <c r="AU8" s="56" t="str">
        <f t="shared" si="12"/>
        <v>x</v>
      </c>
      <c r="AV8" s="56" t="str">
        <f t="shared" si="12"/>
        <v>x</v>
      </c>
      <c r="AW8" s="56" t="str">
        <f t="shared" si="12"/>
        <v>x</v>
      </c>
      <c r="AX8" s="56" t="str">
        <f t="shared" si="12"/>
        <v>x</v>
      </c>
      <c r="AY8" s="56" t="str">
        <f t="shared" si="12"/>
        <v>x</v>
      </c>
      <c r="AZ8" s="56" t="str">
        <f t="shared" si="12"/>
        <v>x</v>
      </c>
      <c r="BA8" s="56" t="str">
        <f t="shared" si="12"/>
        <v>x</v>
      </c>
      <c r="BB8" s="56" t="str">
        <f t="shared" si="12"/>
        <v>x</v>
      </c>
      <c r="BC8" s="56" t="str">
        <f t="shared" si="12"/>
        <v>x</v>
      </c>
      <c r="BD8" s="56" t="str">
        <f t="shared" si="12"/>
        <v>x</v>
      </c>
      <c r="BE8" s="56" t="str">
        <f t="shared" si="12"/>
        <v>x</v>
      </c>
      <c r="BF8" s="56" t="str">
        <f t="shared" si="12"/>
        <v>x</v>
      </c>
      <c r="BG8" s="56" t="str">
        <f t="shared" si="12"/>
        <v>x</v>
      </c>
      <c r="BH8" s="56" t="str">
        <f t="shared" si="12"/>
        <v>x</v>
      </c>
      <c r="BI8" s="56" t="str">
        <f t="shared" si="12"/>
        <v>x</v>
      </c>
      <c r="BJ8" s="56" t="str">
        <f t="shared" si="12"/>
        <v>x</v>
      </c>
      <c r="BK8" s="56" t="str">
        <f t="shared" si="12"/>
        <v>x</v>
      </c>
      <c r="BL8" s="56" t="str">
        <f t="shared" si="12"/>
        <v>x</v>
      </c>
      <c r="BM8" s="56" t="str">
        <f t="shared" si="12"/>
        <v>x</v>
      </c>
      <c r="BN8" s="56" t="str">
        <f t="shared" si="12"/>
        <v>x</v>
      </c>
      <c r="BO8" s="56" t="str">
        <f t="shared" si="12"/>
        <v>x</v>
      </c>
      <c r="BP8" s="56" t="str">
        <f t="shared" si="12"/>
        <v>x</v>
      </c>
      <c r="BQ8" s="56" t="str">
        <f t="shared" si="12"/>
        <v>x</v>
      </c>
      <c r="BR8" s="56" t="str">
        <f t="shared" si="12"/>
        <v>x</v>
      </c>
      <c r="BS8" s="56" t="str">
        <f t="shared" si="12"/>
        <v>x</v>
      </c>
      <c r="BT8" s="56" t="str">
        <f t="shared" si="12"/>
        <v>x</v>
      </c>
      <c r="BU8" s="56" t="str">
        <f t="shared" si="12"/>
        <v>x</v>
      </c>
      <c r="BV8" s="56" t="str">
        <f t="shared" si="12"/>
        <v>x</v>
      </c>
      <c r="BW8" s="56" t="str">
        <f t="shared" si="12"/>
        <v>x</v>
      </c>
      <c r="BX8" s="56" t="str">
        <f t="shared" si="12"/>
        <v>x</v>
      </c>
      <c r="BY8" s="56" t="str">
        <f t="shared" si="12"/>
        <v>x</v>
      </c>
      <c r="BZ8" s="56" t="str">
        <f t="shared" si="11"/>
        <v>--</v>
      </c>
      <c r="CA8" s="56" t="str">
        <f t="shared" ref="CA8:DL12" si="13">IFERROR(IF(SEARCH(CA$5,$E8),$F8,"-"),"x")</f>
        <v>x</v>
      </c>
      <c r="CB8" s="56" t="str">
        <f t="shared" si="13"/>
        <v>x</v>
      </c>
      <c r="CC8" s="56" t="str">
        <f t="shared" si="13"/>
        <v>x</v>
      </c>
      <c r="CD8" s="56" t="str">
        <f t="shared" si="13"/>
        <v>x</v>
      </c>
      <c r="CE8" s="56" t="str">
        <f t="shared" si="13"/>
        <v>x</v>
      </c>
      <c r="CF8" s="56" t="str">
        <f t="shared" si="13"/>
        <v>x</v>
      </c>
      <c r="CG8" s="56" t="str">
        <f t="shared" si="13"/>
        <v>x</v>
      </c>
      <c r="CH8" s="56" t="str">
        <f t="shared" si="13"/>
        <v>x</v>
      </c>
      <c r="CI8" s="56" t="str">
        <f t="shared" si="13"/>
        <v>x</v>
      </c>
      <c r="CJ8" s="56" t="str">
        <f t="shared" si="13"/>
        <v>x</v>
      </c>
      <c r="CK8" s="56" t="str">
        <f t="shared" si="13"/>
        <v>x</v>
      </c>
      <c r="CL8" s="56" t="str">
        <f t="shared" si="13"/>
        <v>x</v>
      </c>
      <c r="CM8" s="56" t="str">
        <f t="shared" si="13"/>
        <v>x</v>
      </c>
      <c r="CN8" s="56" t="str">
        <f t="shared" si="13"/>
        <v>x</v>
      </c>
      <c r="CO8" s="56" t="str">
        <f t="shared" si="13"/>
        <v>x</v>
      </c>
      <c r="CP8" s="56" t="str">
        <f t="shared" si="13"/>
        <v>x</v>
      </c>
      <c r="CQ8" s="56" t="str">
        <f t="shared" si="13"/>
        <v>x</v>
      </c>
      <c r="CR8" s="56" t="str">
        <f t="shared" si="13"/>
        <v>x</v>
      </c>
      <c r="CS8" s="56" t="str">
        <f t="shared" si="13"/>
        <v>x</v>
      </c>
      <c r="CT8" s="56" t="str">
        <f t="shared" si="13"/>
        <v>x</v>
      </c>
      <c r="CU8" s="56" t="str">
        <f t="shared" si="13"/>
        <v>x</v>
      </c>
      <c r="CV8" s="56" t="str">
        <f t="shared" si="13"/>
        <v>x</v>
      </c>
      <c r="CW8" s="56" t="str">
        <f t="shared" si="13"/>
        <v>x</v>
      </c>
      <c r="CX8" s="56" t="str">
        <f t="shared" si="13"/>
        <v>x</v>
      </c>
      <c r="CY8" s="56" t="str">
        <f t="shared" si="13"/>
        <v>x</v>
      </c>
      <c r="CZ8" s="56" t="str">
        <f t="shared" si="13"/>
        <v>x</v>
      </c>
      <c r="DA8" s="56" t="str">
        <f t="shared" si="13"/>
        <v>x</v>
      </c>
      <c r="DB8" s="56" t="str">
        <f t="shared" si="13"/>
        <v>x</v>
      </c>
      <c r="DC8" s="56" t="str">
        <f t="shared" si="13"/>
        <v>x</v>
      </c>
      <c r="DD8" s="56" t="str">
        <f t="shared" si="13"/>
        <v>x</v>
      </c>
      <c r="DE8" s="56" t="str">
        <f t="shared" si="13"/>
        <v>x</v>
      </c>
      <c r="DF8" s="56" t="str">
        <f t="shared" si="13"/>
        <v>x</v>
      </c>
      <c r="DG8" s="56" t="str">
        <f t="shared" si="13"/>
        <v>x</v>
      </c>
      <c r="DH8" s="56" t="str">
        <f t="shared" si="13"/>
        <v>x</v>
      </c>
      <c r="DI8" s="56" t="str">
        <f t="shared" si="13"/>
        <v>x</v>
      </c>
      <c r="DJ8" s="56" t="str">
        <f t="shared" si="13"/>
        <v>x</v>
      </c>
      <c r="DK8" s="56" t="str">
        <f t="shared" si="13"/>
        <v>x</v>
      </c>
      <c r="DL8" s="56" t="str">
        <f t="shared" si="13"/>
        <v>x</v>
      </c>
      <c r="DM8" s="56" t="str">
        <f t="shared" si="6"/>
        <v>x</v>
      </c>
      <c r="DN8" s="56" t="str">
        <f t="shared" si="7"/>
        <v>x</v>
      </c>
      <c r="DO8" s="56" t="str">
        <f t="shared" si="7"/>
        <v>x</v>
      </c>
    </row>
    <row r="9" spans="1:119" s="7" customFormat="1" ht="28.8">
      <c r="A9" s="52"/>
      <c r="B9" s="30" t="s">
        <v>124</v>
      </c>
      <c r="C9" s="29" t="s">
        <v>285</v>
      </c>
      <c r="D9" s="130" t="s">
        <v>286</v>
      </c>
      <c r="E9" s="23" t="s">
        <v>162</v>
      </c>
      <c r="F9" s="36" t="s">
        <v>3</v>
      </c>
      <c r="G9" s="37"/>
      <c r="H9" s="37">
        <v>1</v>
      </c>
      <c r="I9" s="37"/>
      <c r="J9" s="116"/>
      <c r="K9" s="56" t="str">
        <f t="shared" si="8"/>
        <v>x</v>
      </c>
      <c r="L9" s="56" t="str">
        <f t="shared" si="8"/>
        <v>x</v>
      </c>
      <c r="M9" s="56" t="str">
        <f t="shared" si="8"/>
        <v>x</v>
      </c>
      <c r="N9" s="56" t="str">
        <f t="shared" si="8"/>
        <v>--</v>
      </c>
      <c r="O9" s="56" t="str">
        <f t="shared" si="8"/>
        <v>x</v>
      </c>
      <c r="P9" s="56" t="str">
        <f t="shared" si="8"/>
        <v>x</v>
      </c>
      <c r="Q9" s="56" t="str">
        <f t="shared" si="8"/>
        <v>x</v>
      </c>
      <c r="R9" s="56" t="str">
        <f t="shared" si="8"/>
        <v>x</v>
      </c>
      <c r="S9" s="56" t="str">
        <f t="shared" si="8"/>
        <v>x</v>
      </c>
      <c r="T9" s="56" t="str">
        <f t="shared" si="8"/>
        <v>x</v>
      </c>
      <c r="U9" s="56" t="str">
        <f t="shared" si="9"/>
        <v>x</v>
      </c>
      <c r="V9" s="56" t="str">
        <f t="shared" si="9"/>
        <v>x</v>
      </c>
      <c r="W9" s="56" t="str">
        <f t="shared" si="9"/>
        <v>x</v>
      </c>
      <c r="X9" s="56" t="str">
        <f t="shared" si="9"/>
        <v>x</v>
      </c>
      <c r="Y9" s="56" t="str">
        <f t="shared" si="9"/>
        <v>x</v>
      </c>
      <c r="Z9" s="56" t="str">
        <f t="shared" si="9"/>
        <v>x</v>
      </c>
      <c r="AA9" s="56" t="str">
        <f t="shared" si="9"/>
        <v>x</v>
      </c>
      <c r="AB9" s="56" t="str">
        <f t="shared" si="9"/>
        <v>x</v>
      </c>
      <c r="AC9" s="56" t="str">
        <f t="shared" si="9"/>
        <v>x</v>
      </c>
      <c r="AD9" s="56" t="str">
        <f t="shared" si="9"/>
        <v>x</v>
      </c>
      <c r="AE9" s="56" t="str">
        <f t="shared" si="10"/>
        <v>x</v>
      </c>
      <c r="AF9" s="56" t="str">
        <f t="shared" si="10"/>
        <v>x</v>
      </c>
      <c r="AG9" s="56" t="str">
        <f t="shared" si="10"/>
        <v>x</v>
      </c>
      <c r="AH9" s="56" t="str">
        <f t="shared" si="10"/>
        <v>x</v>
      </c>
      <c r="AI9" s="56" t="str">
        <f t="shared" si="10"/>
        <v>x</v>
      </c>
      <c r="AJ9" s="56" t="str">
        <f t="shared" si="10"/>
        <v>x</v>
      </c>
      <c r="AK9" s="56" t="str">
        <f t="shared" si="10"/>
        <v>x</v>
      </c>
      <c r="AL9" s="56" t="str">
        <f t="shared" si="10"/>
        <v>x</v>
      </c>
      <c r="AM9" s="56" t="str">
        <f t="shared" si="10"/>
        <v>x</v>
      </c>
      <c r="AN9" s="56" t="str">
        <f t="shared" si="10"/>
        <v>x</v>
      </c>
      <c r="AO9" s="56" t="str">
        <f t="shared" si="10"/>
        <v>x</v>
      </c>
      <c r="AP9" s="56" t="str">
        <f t="shared" si="10"/>
        <v>x</v>
      </c>
      <c r="AQ9" s="56" t="str">
        <f t="shared" si="10"/>
        <v>x</v>
      </c>
      <c r="AR9" s="56" t="str">
        <f t="shared" si="10"/>
        <v>x</v>
      </c>
      <c r="AS9" s="56" t="str">
        <f t="shared" si="10"/>
        <v>x</v>
      </c>
      <c r="AT9" s="56" t="str">
        <f t="shared" si="10"/>
        <v>x</v>
      </c>
      <c r="AU9" s="56" t="str">
        <f t="shared" ref="AU9:BJ36" si="14">IFERROR(IF(SEARCH(AU$5,$D9),$F9,"-"),"x")</f>
        <v>x</v>
      </c>
      <c r="AV9" s="56" t="str">
        <f t="shared" si="14"/>
        <v>x</v>
      </c>
      <c r="AW9" s="56" t="str">
        <f t="shared" si="14"/>
        <v>x</v>
      </c>
      <c r="AX9" s="56" t="str">
        <f t="shared" si="14"/>
        <v>x</v>
      </c>
      <c r="AY9" s="56" t="str">
        <f t="shared" si="14"/>
        <v>x</v>
      </c>
      <c r="AZ9" s="56" t="str">
        <f t="shared" si="14"/>
        <v>x</v>
      </c>
      <c r="BA9" s="56" t="str">
        <f t="shared" si="14"/>
        <v>x</v>
      </c>
      <c r="BB9" s="56" t="str">
        <f t="shared" si="14"/>
        <v>x</v>
      </c>
      <c r="BC9" s="56" t="str">
        <f t="shared" si="14"/>
        <v>x</v>
      </c>
      <c r="BD9" s="56" t="str">
        <f t="shared" si="14"/>
        <v>x</v>
      </c>
      <c r="BE9" s="56" t="str">
        <f t="shared" si="14"/>
        <v>x</v>
      </c>
      <c r="BF9" s="56" t="str">
        <f t="shared" si="14"/>
        <v>x</v>
      </c>
      <c r="BG9" s="56" t="str">
        <f t="shared" si="14"/>
        <v>x</v>
      </c>
      <c r="BH9" s="56" t="str">
        <f t="shared" si="14"/>
        <v>x</v>
      </c>
      <c r="BI9" s="56" t="str">
        <f t="shared" si="14"/>
        <v>x</v>
      </c>
      <c r="BJ9" s="56" t="str">
        <f t="shared" si="14"/>
        <v>x</v>
      </c>
      <c r="BK9" s="56" t="str">
        <f t="shared" ref="BK9:BY25" si="15">IFERROR(IF(SEARCH(BK$5,$D9),$F9,"-"),"x")</f>
        <v>x</v>
      </c>
      <c r="BL9" s="56" t="str">
        <f t="shared" si="15"/>
        <v>x</v>
      </c>
      <c r="BM9" s="56" t="str">
        <f t="shared" si="15"/>
        <v>x</v>
      </c>
      <c r="BN9" s="56" t="str">
        <f t="shared" si="15"/>
        <v>x</v>
      </c>
      <c r="BO9" s="56" t="str">
        <f t="shared" si="15"/>
        <v>x</v>
      </c>
      <c r="BP9" s="56" t="str">
        <f t="shared" si="15"/>
        <v>x</v>
      </c>
      <c r="BQ9" s="56" t="str">
        <f t="shared" si="15"/>
        <v>x</v>
      </c>
      <c r="BR9" s="56" t="str">
        <f t="shared" si="15"/>
        <v>x</v>
      </c>
      <c r="BS9" s="56" t="str">
        <f t="shared" si="15"/>
        <v>x</v>
      </c>
      <c r="BT9" s="56" t="str">
        <f t="shared" si="15"/>
        <v>x</v>
      </c>
      <c r="BU9" s="56" t="str">
        <f t="shared" si="15"/>
        <v>x</v>
      </c>
      <c r="BV9" s="56" t="str">
        <f t="shared" si="15"/>
        <v>x</v>
      </c>
      <c r="BW9" s="56" t="str">
        <f t="shared" si="15"/>
        <v>x</v>
      </c>
      <c r="BX9" s="56" t="str">
        <f t="shared" si="15"/>
        <v>x</v>
      </c>
      <c r="BY9" s="56" t="str">
        <f t="shared" si="15"/>
        <v>x</v>
      </c>
      <c r="BZ9" s="56" t="str">
        <f t="shared" si="11"/>
        <v>--</v>
      </c>
      <c r="CA9" s="56" t="str">
        <f t="shared" si="13"/>
        <v>x</v>
      </c>
      <c r="CB9" s="56" t="str">
        <f t="shared" si="13"/>
        <v>x</v>
      </c>
      <c r="CC9" s="56" t="str">
        <f t="shared" si="13"/>
        <v>x</v>
      </c>
      <c r="CD9" s="56" t="str">
        <f t="shared" si="13"/>
        <v>x</v>
      </c>
      <c r="CE9" s="56" t="str">
        <f t="shared" si="13"/>
        <v>x</v>
      </c>
      <c r="CF9" s="56" t="str">
        <f t="shared" si="13"/>
        <v>x</v>
      </c>
      <c r="CG9" s="56" t="str">
        <f t="shared" si="13"/>
        <v>x</v>
      </c>
      <c r="CH9" s="56" t="str">
        <f t="shared" si="13"/>
        <v>x</v>
      </c>
      <c r="CI9" s="56" t="str">
        <f t="shared" si="13"/>
        <v>x</v>
      </c>
      <c r="CJ9" s="56" t="str">
        <f t="shared" si="13"/>
        <v>x</v>
      </c>
      <c r="CK9" s="56" t="str">
        <f t="shared" si="13"/>
        <v>x</v>
      </c>
      <c r="CL9" s="56" t="str">
        <f t="shared" si="13"/>
        <v>x</v>
      </c>
      <c r="CM9" s="56" t="str">
        <f t="shared" si="13"/>
        <v>x</v>
      </c>
      <c r="CN9" s="56" t="str">
        <f t="shared" si="13"/>
        <v>x</v>
      </c>
      <c r="CO9" s="56" t="str">
        <f t="shared" si="13"/>
        <v>x</v>
      </c>
      <c r="CP9" s="56" t="str">
        <f t="shared" si="13"/>
        <v>x</v>
      </c>
      <c r="CQ9" s="56" t="str">
        <f t="shared" si="13"/>
        <v>x</v>
      </c>
      <c r="CR9" s="56" t="str">
        <f t="shared" si="13"/>
        <v>x</v>
      </c>
      <c r="CS9" s="56" t="str">
        <f t="shared" si="13"/>
        <v>x</v>
      </c>
      <c r="CT9" s="56" t="str">
        <f t="shared" si="13"/>
        <v>x</v>
      </c>
      <c r="CU9" s="56" t="str">
        <f t="shared" si="13"/>
        <v>x</v>
      </c>
      <c r="CV9" s="56" t="str">
        <f t="shared" si="13"/>
        <v>x</v>
      </c>
      <c r="CW9" s="56" t="str">
        <f t="shared" si="13"/>
        <v>x</v>
      </c>
      <c r="CX9" s="56" t="str">
        <f t="shared" si="13"/>
        <v>x</v>
      </c>
      <c r="CY9" s="56" t="str">
        <f t="shared" si="13"/>
        <v>x</v>
      </c>
      <c r="CZ9" s="56" t="str">
        <f t="shared" si="13"/>
        <v>x</v>
      </c>
      <c r="DA9" s="56" t="str">
        <f t="shared" si="13"/>
        <v>x</v>
      </c>
      <c r="DB9" s="56" t="str">
        <f t="shared" si="13"/>
        <v>x</v>
      </c>
      <c r="DC9" s="56" t="str">
        <f t="shared" si="13"/>
        <v>x</v>
      </c>
      <c r="DD9" s="56" t="str">
        <f t="shared" si="13"/>
        <v>x</v>
      </c>
      <c r="DE9" s="56" t="str">
        <f t="shared" si="13"/>
        <v>x</v>
      </c>
      <c r="DF9" s="56" t="str">
        <f t="shared" si="13"/>
        <v>x</v>
      </c>
      <c r="DG9" s="56" t="str">
        <f t="shared" si="13"/>
        <v>x</v>
      </c>
      <c r="DH9" s="56" t="str">
        <f t="shared" si="13"/>
        <v>x</v>
      </c>
      <c r="DI9" s="56" t="str">
        <f t="shared" si="13"/>
        <v>x</v>
      </c>
      <c r="DJ9" s="56" t="str">
        <f t="shared" si="13"/>
        <v>x</v>
      </c>
      <c r="DK9" s="56" t="str">
        <f t="shared" si="13"/>
        <v>x</v>
      </c>
      <c r="DL9" s="56" t="str">
        <f t="shared" si="13"/>
        <v>x</v>
      </c>
      <c r="DM9" s="56" t="str">
        <f t="shared" si="6"/>
        <v>x</v>
      </c>
      <c r="DN9" s="56" t="str">
        <f t="shared" si="7"/>
        <v>x</v>
      </c>
      <c r="DO9" s="56" t="str">
        <f t="shared" si="7"/>
        <v>x</v>
      </c>
    </row>
    <row r="10" spans="1:119" s="7" customFormat="1" ht="28.8">
      <c r="A10" s="52"/>
      <c r="B10" s="30" t="s">
        <v>125</v>
      </c>
      <c r="C10" s="29" t="s">
        <v>353</v>
      </c>
      <c r="D10" s="130" t="s">
        <v>354</v>
      </c>
      <c r="E10" s="23"/>
      <c r="F10" s="36"/>
      <c r="G10" s="37"/>
      <c r="H10" s="37"/>
      <c r="I10" s="37"/>
      <c r="J10" s="11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  <c r="DO10" s="56"/>
    </row>
    <row r="11" spans="1:119" s="7" customFormat="1" ht="42" customHeight="1">
      <c r="A11" s="52" t="s">
        <v>201</v>
      </c>
      <c r="B11" s="30" t="s">
        <v>122</v>
      </c>
      <c r="C11" s="29" t="s">
        <v>290</v>
      </c>
      <c r="D11" s="130" t="s">
        <v>220</v>
      </c>
      <c r="E11" s="23" t="s">
        <v>180</v>
      </c>
      <c r="F11" s="36" t="s">
        <v>3</v>
      </c>
      <c r="G11" s="37"/>
      <c r="H11" s="37">
        <v>2</v>
      </c>
      <c r="I11" s="37"/>
      <c r="J11" s="118"/>
      <c r="K11" s="56" t="str">
        <f t="shared" si="8"/>
        <v>x</v>
      </c>
      <c r="L11" s="56" t="str">
        <f t="shared" si="8"/>
        <v>x</v>
      </c>
      <c r="M11" s="56" t="str">
        <f t="shared" si="8"/>
        <v>x</v>
      </c>
      <c r="N11" s="56" t="str">
        <f t="shared" si="8"/>
        <v>x</v>
      </c>
      <c r="O11" s="56" t="str">
        <f t="shared" si="8"/>
        <v>--</v>
      </c>
      <c r="P11" s="56" t="str">
        <f t="shared" si="8"/>
        <v>x</v>
      </c>
      <c r="Q11" s="56" t="str">
        <f t="shared" si="8"/>
        <v>x</v>
      </c>
      <c r="R11" s="56" t="str">
        <f t="shared" si="8"/>
        <v>x</v>
      </c>
      <c r="S11" s="56" t="str">
        <f t="shared" si="8"/>
        <v>x</v>
      </c>
      <c r="T11" s="56" t="str">
        <f t="shared" si="8"/>
        <v>x</v>
      </c>
      <c r="U11" s="56" t="str">
        <f t="shared" si="9"/>
        <v>x</v>
      </c>
      <c r="V11" s="56" t="str">
        <f t="shared" si="9"/>
        <v>x</v>
      </c>
      <c r="W11" s="56" t="str">
        <f t="shared" si="9"/>
        <v>x</v>
      </c>
      <c r="X11" s="56" t="str">
        <f t="shared" si="9"/>
        <v>x</v>
      </c>
      <c r="Y11" s="56" t="str">
        <f t="shared" si="9"/>
        <v>x</v>
      </c>
      <c r="Z11" s="56" t="str">
        <f t="shared" si="9"/>
        <v>x</v>
      </c>
      <c r="AA11" s="56" t="str">
        <f t="shared" si="9"/>
        <v>x</v>
      </c>
      <c r="AB11" s="56" t="str">
        <f t="shared" si="9"/>
        <v>x</v>
      </c>
      <c r="AC11" s="56" t="str">
        <f t="shared" si="9"/>
        <v>x</v>
      </c>
      <c r="AD11" s="56" t="str">
        <f t="shared" si="9"/>
        <v>x</v>
      </c>
      <c r="AE11" s="56" t="str">
        <f t="shared" si="10"/>
        <v>x</v>
      </c>
      <c r="AF11" s="56" t="str">
        <f t="shared" si="10"/>
        <v>x</v>
      </c>
      <c r="AG11" s="56" t="str">
        <f t="shared" si="10"/>
        <v>x</v>
      </c>
      <c r="AH11" s="56" t="str">
        <f t="shared" si="10"/>
        <v>x</v>
      </c>
      <c r="AI11" s="56" t="str">
        <f t="shared" si="10"/>
        <v>x</v>
      </c>
      <c r="AJ11" s="56" t="str">
        <f t="shared" si="10"/>
        <v>x</v>
      </c>
      <c r="AK11" s="56" t="str">
        <f t="shared" si="10"/>
        <v>x</v>
      </c>
      <c r="AL11" s="56" t="str">
        <f t="shared" si="10"/>
        <v>x</v>
      </c>
      <c r="AM11" s="56" t="str">
        <f t="shared" si="10"/>
        <v>x</v>
      </c>
      <c r="AN11" s="56" t="str">
        <f t="shared" si="10"/>
        <v>x</v>
      </c>
      <c r="AO11" s="56" t="str">
        <f t="shared" si="10"/>
        <v>x</v>
      </c>
      <c r="AP11" s="56" t="str">
        <f t="shared" si="10"/>
        <v>x</v>
      </c>
      <c r="AQ11" s="56" t="str">
        <f t="shared" si="10"/>
        <v>x</v>
      </c>
      <c r="AR11" s="56" t="str">
        <f t="shared" si="10"/>
        <v>x</v>
      </c>
      <c r="AS11" s="56" t="str">
        <f t="shared" si="10"/>
        <v>x</v>
      </c>
      <c r="AT11" s="56" t="str">
        <f t="shared" si="10"/>
        <v>x</v>
      </c>
      <c r="AU11" s="56" t="str">
        <f t="shared" si="14"/>
        <v>x</v>
      </c>
      <c r="AV11" s="56" t="str">
        <f t="shared" si="14"/>
        <v>x</v>
      </c>
      <c r="AW11" s="56" t="str">
        <f t="shared" si="14"/>
        <v>x</v>
      </c>
      <c r="AX11" s="56" t="str">
        <f t="shared" si="14"/>
        <v>x</v>
      </c>
      <c r="AY11" s="56" t="str">
        <f t="shared" si="14"/>
        <v>x</v>
      </c>
      <c r="AZ11" s="56" t="str">
        <f t="shared" si="14"/>
        <v>x</v>
      </c>
      <c r="BA11" s="56" t="str">
        <f t="shared" si="14"/>
        <v>x</v>
      </c>
      <c r="BB11" s="56" t="str">
        <f t="shared" si="14"/>
        <v>x</v>
      </c>
      <c r="BC11" s="56" t="str">
        <f t="shared" si="14"/>
        <v>x</v>
      </c>
      <c r="BD11" s="56" t="str">
        <f t="shared" si="14"/>
        <v>x</v>
      </c>
      <c r="BE11" s="56" t="str">
        <f t="shared" si="14"/>
        <v>x</v>
      </c>
      <c r="BF11" s="56" t="str">
        <f t="shared" si="14"/>
        <v>x</v>
      </c>
      <c r="BG11" s="56" t="str">
        <f t="shared" si="14"/>
        <v>x</v>
      </c>
      <c r="BH11" s="56" t="str">
        <f t="shared" si="14"/>
        <v>x</v>
      </c>
      <c r="BI11" s="56" t="str">
        <f t="shared" si="14"/>
        <v>x</v>
      </c>
      <c r="BJ11" s="56" t="str">
        <f t="shared" si="14"/>
        <v>x</v>
      </c>
      <c r="BK11" s="56" t="str">
        <f t="shared" si="15"/>
        <v>x</v>
      </c>
      <c r="BL11" s="56" t="str">
        <f t="shared" si="15"/>
        <v>x</v>
      </c>
      <c r="BM11" s="56" t="str">
        <f t="shared" si="15"/>
        <v>x</v>
      </c>
      <c r="BN11" s="56" t="str">
        <f t="shared" si="15"/>
        <v>x</v>
      </c>
      <c r="BO11" s="56" t="str">
        <f t="shared" si="15"/>
        <v>x</v>
      </c>
      <c r="BP11" s="56" t="str">
        <f t="shared" si="15"/>
        <v>x</v>
      </c>
      <c r="BQ11" s="56" t="str">
        <f t="shared" si="15"/>
        <v>x</v>
      </c>
      <c r="BR11" s="56" t="str">
        <f t="shared" si="15"/>
        <v>x</v>
      </c>
      <c r="BS11" s="56" t="str">
        <f t="shared" si="15"/>
        <v>x</v>
      </c>
      <c r="BT11" s="56" t="str">
        <f t="shared" si="15"/>
        <v>x</v>
      </c>
      <c r="BU11" s="56" t="str">
        <f t="shared" si="15"/>
        <v>x</v>
      </c>
      <c r="BV11" s="56" t="str">
        <f t="shared" si="15"/>
        <v>x</v>
      </c>
      <c r="BW11" s="56" t="str">
        <f t="shared" si="15"/>
        <v>x</v>
      </c>
      <c r="BX11" s="56" t="str">
        <f t="shared" si="15"/>
        <v>x</v>
      </c>
      <c r="BY11" s="56" t="str">
        <f t="shared" si="15"/>
        <v>x</v>
      </c>
      <c r="BZ11" s="56" t="str">
        <f t="shared" si="11"/>
        <v>x</v>
      </c>
      <c r="CA11" s="56" t="str">
        <f t="shared" si="13"/>
        <v>x</v>
      </c>
      <c r="CB11" s="56" t="str">
        <f t="shared" si="13"/>
        <v>x</v>
      </c>
      <c r="CC11" s="56" t="str">
        <f t="shared" si="13"/>
        <v>x</v>
      </c>
      <c r="CD11" s="56" t="str">
        <f t="shared" si="13"/>
        <v>x</v>
      </c>
      <c r="CE11" s="56" t="str">
        <f t="shared" si="13"/>
        <v>x</v>
      </c>
      <c r="CF11" s="56" t="str">
        <f t="shared" si="13"/>
        <v>x</v>
      </c>
      <c r="CG11" s="56" t="str">
        <f t="shared" si="13"/>
        <v>x</v>
      </c>
      <c r="CH11" s="56" t="str">
        <f t="shared" si="13"/>
        <v>x</v>
      </c>
      <c r="CI11" s="56" t="str">
        <f t="shared" si="13"/>
        <v>x</v>
      </c>
      <c r="CJ11" s="56" t="str">
        <f t="shared" si="13"/>
        <v>x</v>
      </c>
      <c r="CK11" s="56" t="str">
        <f t="shared" si="13"/>
        <v>x</v>
      </c>
      <c r="CL11" s="56" t="str">
        <f t="shared" si="13"/>
        <v>x</v>
      </c>
      <c r="CM11" s="56" t="str">
        <f t="shared" si="13"/>
        <v>x</v>
      </c>
      <c r="CN11" s="56" t="str">
        <f t="shared" si="13"/>
        <v>x</v>
      </c>
      <c r="CO11" s="56" t="str">
        <f t="shared" si="13"/>
        <v>x</v>
      </c>
      <c r="CP11" s="56" t="str">
        <f t="shared" si="13"/>
        <v>x</v>
      </c>
      <c r="CQ11" s="56" t="str">
        <f t="shared" si="13"/>
        <v>x</v>
      </c>
      <c r="CR11" s="56" t="str">
        <f t="shared" si="13"/>
        <v>--</v>
      </c>
      <c r="CS11" s="56" t="str">
        <f t="shared" si="13"/>
        <v>x</v>
      </c>
      <c r="CT11" s="56" t="str">
        <f t="shared" si="13"/>
        <v>x</v>
      </c>
      <c r="CU11" s="56" t="str">
        <f t="shared" si="13"/>
        <v>x</v>
      </c>
      <c r="CV11" s="56" t="str">
        <f t="shared" si="13"/>
        <v>x</v>
      </c>
      <c r="CW11" s="56" t="str">
        <f t="shared" si="13"/>
        <v>x</v>
      </c>
      <c r="CX11" s="56" t="str">
        <f t="shared" si="13"/>
        <v>x</v>
      </c>
      <c r="CY11" s="56" t="str">
        <f t="shared" si="13"/>
        <v>x</v>
      </c>
      <c r="CZ11" s="56" t="str">
        <f t="shared" si="13"/>
        <v>x</v>
      </c>
      <c r="DA11" s="56" t="str">
        <f t="shared" si="13"/>
        <v>x</v>
      </c>
      <c r="DB11" s="56" t="str">
        <f t="shared" si="13"/>
        <v>x</v>
      </c>
      <c r="DC11" s="56" t="str">
        <f t="shared" si="13"/>
        <v>x</v>
      </c>
      <c r="DD11" s="56" t="str">
        <f t="shared" si="13"/>
        <v>x</v>
      </c>
      <c r="DE11" s="56" t="str">
        <f t="shared" si="13"/>
        <v>x</v>
      </c>
      <c r="DF11" s="56" t="str">
        <f t="shared" si="13"/>
        <v>x</v>
      </c>
      <c r="DG11" s="56" t="str">
        <f t="shared" si="13"/>
        <v>x</v>
      </c>
      <c r="DH11" s="56" t="str">
        <f t="shared" si="13"/>
        <v>x</v>
      </c>
      <c r="DI11" s="56" t="str">
        <f t="shared" si="13"/>
        <v>x</v>
      </c>
      <c r="DJ11" s="56" t="str">
        <f t="shared" si="13"/>
        <v>x</v>
      </c>
      <c r="DK11" s="56" t="str">
        <f t="shared" si="13"/>
        <v>x</v>
      </c>
      <c r="DL11" s="56" t="str">
        <f t="shared" si="13"/>
        <v>x</v>
      </c>
      <c r="DM11" s="56" t="str">
        <f t="shared" si="6"/>
        <v>x</v>
      </c>
      <c r="DN11" s="56" t="str">
        <f t="shared" si="7"/>
        <v>x</v>
      </c>
      <c r="DO11" s="56" t="str">
        <f t="shared" si="7"/>
        <v>x</v>
      </c>
    </row>
    <row r="12" spans="1:119" s="7" customFormat="1" ht="38.25" customHeight="1">
      <c r="A12" s="52"/>
      <c r="B12" s="30" t="s">
        <v>123</v>
      </c>
      <c r="C12" s="29" t="s">
        <v>287</v>
      </c>
      <c r="D12" s="130" t="s">
        <v>221</v>
      </c>
      <c r="E12" s="23" t="s">
        <v>180</v>
      </c>
      <c r="F12" s="36" t="s">
        <v>3</v>
      </c>
      <c r="G12" s="37"/>
      <c r="H12" s="37">
        <v>2</v>
      </c>
      <c r="I12" s="37"/>
      <c r="J12" s="118"/>
      <c r="K12" s="56" t="str">
        <f t="shared" si="8"/>
        <v>x</v>
      </c>
      <c r="L12" s="56" t="str">
        <f t="shared" si="8"/>
        <v>x</v>
      </c>
      <c r="M12" s="56" t="str">
        <f t="shared" si="8"/>
        <v>x</v>
      </c>
      <c r="N12" s="56" t="str">
        <f t="shared" si="8"/>
        <v>x</v>
      </c>
      <c r="O12" s="56" t="str">
        <f t="shared" si="8"/>
        <v>x</v>
      </c>
      <c r="P12" s="56" t="str">
        <f t="shared" si="8"/>
        <v>--</v>
      </c>
      <c r="Q12" s="56" t="str">
        <f t="shared" si="8"/>
        <v>x</v>
      </c>
      <c r="R12" s="56" t="str">
        <f t="shared" si="8"/>
        <v>x</v>
      </c>
      <c r="S12" s="56" t="str">
        <f t="shared" si="8"/>
        <v>x</v>
      </c>
      <c r="T12" s="56" t="str">
        <f t="shared" si="8"/>
        <v>x</v>
      </c>
      <c r="U12" s="56" t="str">
        <f t="shared" si="9"/>
        <v>x</v>
      </c>
      <c r="V12" s="56" t="str">
        <f t="shared" si="9"/>
        <v>x</v>
      </c>
      <c r="W12" s="56" t="str">
        <f t="shared" si="9"/>
        <v>x</v>
      </c>
      <c r="X12" s="56" t="str">
        <f t="shared" si="9"/>
        <v>x</v>
      </c>
      <c r="Y12" s="56" t="str">
        <f t="shared" si="9"/>
        <v>x</v>
      </c>
      <c r="Z12" s="56" t="str">
        <f t="shared" si="9"/>
        <v>x</v>
      </c>
      <c r="AA12" s="56" t="str">
        <f t="shared" si="9"/>
        <v>x</v>
      </c>
      <c r="AB12" s="56" t="str">
        <f t="shared" si="9"/>
        <v>x</v>
      </c>
      <c r="AC12" s="56" t="str">
        <f t="shared" si="9"/>
        <v>x</v>
      </c>
      <c r="AD12" s="56" t="str">
        <f t="shared" si="9"/>
        <v>x</v>
      </c>
      <c r="AE12" s="56" t="str">
        <f t="shared" si="10"/>
        <v>x</v>
      </c>
      <c r="AF12" s="56" t="str">
        <f t="shared" si="10"/>
        <v>x</v>
      </c>
      <c r="AG12" s="56" t="str">
        <f t="shared" si="10"/>
        <v>x</v>
      </c>
      <c r="AH12" s="56" t="str">
        <f t="shared" si="10"/>
        <v>x</v>
      </c>
      <c r="AI12" s="56" t="str">
        <f t="shared" si="10"/>
        <v>x</v>
      </c>
      <c r="AJ12" s="56" t="str">
        <f t="shared" si="10"/>
        <v>x</v>
      </c>
      <c r="AK12" s="56" t="str">
        <f t="shared" si="10"/>
        <v>x</v>
      </c>
      <c r="AL12" s="56" t="str">
        <f t="shared" si="10"/>
        <v>x</v>
      </c>
      <c r="AM12" s="56" t="str">
        <f t="shared" si="10"/>
        <v>x</v>
      </c>
      <c r="AN12" s="56" t="str">
        <f t="shared" si="10"/>
        <v>x</v>
      </c>
      <c r="AO12" s="56" t="str">
        <f t="shared" si="10"/>
        <v>x</v>
      </c>
      <c r="AP12" s="56" t="str">
        <f t="shared" si="10"/>
        <v>x</v>
      </c>
      <c r="AQ12" s="56" t="str">
        <f t="shared" si="10"/>
        <v>x</v>
      </c>
      <c r="AR12" s="56" t="str">
        <f t="shared" si="10"/>
        <v>x</v>
      </c>
      <c r="AS12" s="56" t="str">
        <f t="shared" si="10"/>
        <v>x</v>
      </c>
      <c r="AT12" s="56" t="str">
        <f t="shared" si="10"/>
        <v>x</v>
      </c>
      <c r="AU12" s="56" t="str">
        <f t="shared" si="14"/>
        <v>x</v>
      </c>
      <c r="AV12" s="56" t="str">
        <f t="shared" si="14"/>
        <v>x</v>
      </c>
      <c r="AW12" s="56" t="str">
        <f t="shared" si="14"/>
        <v>x</v>
      </c>
      <c r="AX12" s="56" t="str">
        <f t="shared" si="14"/>
        <v>x</v>
      </c>
      <c r="AY12" s="56" t="str">
        <f t="shared" si="14"/>
        <v>x</v>
      </c>
      <c r="AZ12" s="56" t="str">
        <f t="shared" si="14"/>
        <v>x</v>
      </c>
      <c r="BA12" s="56" t="str">
        <f t="shared" si="14"/>
        <v>x</v>
      </c>
      <c r="BB12" s="56" t="str">
        <f t="shared" si="14"/>
        <v>x</v>
      </c>
      <c r="BC12" s="56" t="str">
        <f t="shared" si="14"/>
        <v>x</v>
      </c>
      <c r="BD12" s="56" t="str">
        <f t="shared" si="14"/>
        <v>x</v>
      </c>
      <c r="BE12" s="56" t="str">
        <f t="shared" si="14"/>
        <v>x</v>
      </c>
      <c r="BF12" s="56" t="str">
        <f t="shared" si="14"/>
        <v>x</v>
      </c>
      <c r="BG12" s="56" t="str">
        <f t="shared" si="14"/>
        <v>x</v>
      </c>
      <c r="BH12" s="56" t="str">
        <f t="shared" si="14"/>
        <v>x</v>
      </c>
      <c r="BI12" s="56" t="str">
        <f t="shared" si="14"/>
        <v>x</v>
      </c>
      <c r="BJ12" s="56" t="str">
        <f t="shared" si="14"/>
        <v>x</v>
      </c>
      <c r="BK12" s="56" t="str">
        <f t="shared" si="15"/>
        <v>x</v>
      </c>
      <c r="BL12" s="56" t="str">
        <f t="shared" si="15"/>
        <v>x</v>
      </c>
      <c r="BM12" s="56" t="str">
        <f t="shared" si="15"/>
        <v>x</v>
      </c>
      <c r="BN12" s="56" t="str">
        <f t="shared" si="15"/>
        <v>x</v>
      </c>
      <c r="BO12" s="56" t="str">
        <f t="shared" si="15"/>
        <v>x</v>
      </c>
      <c r="BP12" s="56" t="str">
        <f t="shared" si="15"/>
        <v>x</v>
      </c>
      <c r="BQ12" s="56" t="str">
        <f t="shared" si="15"/>
        <v>x</v>
      </c>
      <c r="BR12" s="56" t="str">
        <f t="shared" si="15"/>
        <v>x</v>
      </c>
      <c r="BS12" s="56" t="str">
        <f t="shared" si="15"/>
        <v>x</v>
      </c>
      <c r="BT12" s="56" t="str">
        <f t="shared" si="15"/>
        <v>x</v>
      </c>
      <c r="BU12" s="56" t="str">
        <f t="shared" si="15"/>
        <v>x</v>
      </c>
      <c r="BV12" s="56" t="str">
        <f t="shared" si="15"/>
        <v>x</v>
      </c>
      <c r="BW12" s="56" t="str">
        <f t="shared" si="15"/>
        <v>x</v>
      </c>
      <c r="BX12" s="56" t="str">
        <f t="shared" si="15"/>
        <v>x</v>
      </c>
      <c r="BY12" s="56" t="str">
        <f t="shared" si="15"/>
        <v>x</v>
      </c>
      <c r="BZ12" s="56" t="str">
        <f t="shared" si="11"/>
        <v>x</v>
      </c>
      <c r="CA12" s="56" t="str">
        <f t="shared" si="13"/>
        <v>x</v>
      </c>
      <c r="CB12" s="56" t="str">
        <f t="shared" si="13"/>
        <v>x</v>
      </c>
      <c r="CC12" s="56" t="str">
        <f t="shared" si="13"/>
        <v>x</v>
      </c>
      <c r="CD12" s="56" t="str">
        <f t="shared" si="13"/>
        <v>x</v>
      </c>
      <c r="CE12" s="56" t="str">
        <f t="shared" si="13"/>
        <v>x</v>
      </c>
      <c r="CF12" s="56" t="str">
        <f t="shared" si="13"/>
        <v>x</v>
      </c>
      <c r="CG12" s="56" t="str">
        <f t="shared" si="13"/>
        <v>x</v>
      </c>
      <c r="CH12" s="56" t="str">
        <f t="shared" si="13"/>
        <v>x</v>
      </c>
      <c r="CI12" s="56" t="str">
        <f t="shared" si="13"/>
        <v>x</v>
      </c>
      <c r="CJ12" s="56" t="str">
        <f t="shared" si="13"/>
        <v>x</v>
      </c>
      <c r="CK12" s="56" t="str">
        <f t="shared" si="13"/>
        <v>x</v>
      </c>
      <c r="CL12" s="56" t="str">
        <f t="shared" si="13"/>
        <v>x</v>
      </c>
      <c r="CM12" s="56" t="str">
        <f t="shared" si="13"/>
        <v>x</v>
      </c>
      <c r="CN12" s="56" t="str">
        <f t="shared" si="13"/>
        <v>x</v>
      </c>
      <c r="CO12" s="56" t="str">
        <f t="shared" si="13"/>
        <v>x</v>
      </c>
      <c r="CP12" s="56" t="str">
        <f t="shared" si="13"/>
        <v>x</v>
      </c>
      <c r="CQ12" s="56" t="str">
        <f t="shared" si="13"/>
        <v>x</v>
      </c>
      <c r="CR12" s="56" t="str">
        <f t="shared" si="13"/>
        <v>--</v>
      </c>
      <c r="CS12" s="56" t="str">
        <f t="shared" si="13"/>
        <v>x</v>
      </c>
      <c r="CT12" s="56" t="str">
        <f t="shared" si="13"/>
        <v>x</v>
      </c>
      <c r="CU12" s="56" t="str">
        <f t="shared" si="13"/>
        <v>x</v>
      </c>
      <c r="CV12" s="56" t="str">
        <f t="shared" si="13"/>
        <v>x</v>
      </c>
      <c r="CW12" s="56" t="str">
        <f t="shared" si="13"/>
        <v>x</v>
      </c>
      <c r="CX12" s="56" t="str">
        <f t="shared" si="13"/>
        <v>x</v>
      </c>
      <c r="CY12" s="56" t="str">
        <f t="shared" si="13"/>
        <v>x</v>
      </c>
      <c r="CZ12" s="56" t="str">
        <f t="shared" si="13"/>
        <v>x</v>
      </c>
      <c r="DA12" s="56" t="str">
        <f t="shared" si="13"/>
        <v>x</v>
      </c>
      <c r="DB12" s="56" t="str">
        <f t="shared" ref="DB12:DO60" si="16">IFERROR(IF(SEARCH(DB$5,$E12),$F12,"-"),"x")</f>
        <v>x</v>
      </c>
      <c r="DC12" s="56" t="str">
        <f t="shared" si="16"/>
        <v>x</v>
      </c>
      <c r="DD12" s="56" t="str">
        <f t="shared" si="16"/>
        <v>x</v>
      </c>
      <c r="DE12" s="56" t="str">
        <f t="shared" si="16"/>
        <v>x</v>
      </c>
      <c r="DF12" s="56" t="str">
        <f t="shared" si="16"/>
        <v>x</v>
      </c>
      <c r="DG12" s="56" t="str">
        <f t="shared" si="16"/>
        <v>x</v>
      </c>
      <c r="DH12" s="56" t="str">
        <f t="shared" si="16"/>
        <v>x</v>
      </c>
      <c r="DI12" s="56" t="str">
        <f t="shared" si="16"/>
        <v>x</v>
      </c>
      <c r="DJ12" s="56" t="str">
        <f t="shared" si="16"/>
        <v>x</v>
      </c>
      <c r="DK12" s="56" t="str">
        <f t="shared" si="16"/>
        <v>x</v>
      </c>
      <c r="DL12" s="56" t="str">
        <f t="shared" si="16"/>
        <v>x</v>
      </c>
      <c r="DM12" s="56" t="str">
        <f t="shared" si="6"/>
        <v>x</v>
      </c>
      <c r="DN12" s="56" t="str">
        <f t="shared" si="7"/>
        <v>x</v>
      </c>
      <c r="DO12" s="56" t="str">
        <f t="shared" si="7"/>
        <v>x</v>
      </c>
    </row>
    <row r="13" spans="1:119" s="7" customFormat="1" ht="28.8">
      <c r="A13" s="52"/>
      <c r="B13" s="30" t="s">
        <v>12</v>
      </c>
      <c r="C13" s="29" t="s">
        <v>288</v>
      </c>
      <c r="D13" s="130" t="s">
        <v>291</v>
      </c>
      <c r="E13" s="23" t="s">
        <v>200</v>
      </c>
      <c r="F13" s="36" t="s">
        <v>3</v>
      </c>
      <c r="G13" s="37"/>
      <c r="H13" s="37">
        <v>2</v>
      </c>
      <c r="I13" s="37"/>
      <c r="J13" s="117"/>
      <c r="K13" s="56" t="str">
        <f t="shared" si="8"/>
        <v>x</v>
      </c>
      <c r="L13" s="56" t="str">
        <f t="shared" si="8"/>
        <v>x</v>
      </c>
      <c r="M13" s="56" t="str">
        <f t="shared" si="8"/>
        <v>x</v>
      </c>
      <c r="N13" s="56" t="str">
        <f t="shared" si="8"/>
        <v>x</v>
      </c>
      <c r="O13" s="56" t="str">
        <f t="shared" si="8"/>
        <v>x</v>
      </c>
      <c r="P13" s="56" t="str">
        <f t="shared" si="8"/>
        <v>x</v>
      </c>
      <c r="Q13" s="56" t="str">
        <f t="shared" si="8"/>
        <v>--</v>
      </c>
      <c r="R13" s="56" t="str">
        <f t="shared" si="8"/>
        <v>x</v>
      </c>
      <c r="S13" s="56" t="str">
        <f t="shared" si="8"/>
        <v>x</v>
      </c>
      <c r="T13" s="56" t="str">
        <f t="shared" si="8"/>
        <v>x</v>
      </c>
      <c r="U13" s="56" t="str">
        <f t="shared" si="9"/>
        <v>x</v>
      </c>
      <c r="V13" s="56" t="str">
        <f t="shared" si="9"/>
        <v>x</v>
      </c>
      <c r="W13" s="56" t="str">
        <f t="shared" si="9"/>
        <v>x</v>
      </c>
      <c r="X13" s="56" t="str">
        <f t="shared" si="9"/>
        <v>x</v>
      </c>
      <c r="Y13" s="56" t="str">
        <f t="shared" si="9"/>
        <v>x</v>
      </c>
      <c r="Z13" s="56" t="str">
        <f t="shared" si="9"/>
        <v>x</v>
      </c>
      <c r="AA13" s="56" t="str">
        <f t="shared" si="9"/>
        <v>x</v>
      </c>
      <c r="AB13" s="56" t="str">
        <f t="shared" si="9"/>
        <v>x</v>
      </c>
      <c r="AC13" s="56" t="str">
        <f t="shared" si="9"/>
        <v>x</v>
      </c>
      <c r="AD13" s="56" t="str">
        <f t="shared" si="9"/>
        <v>x</v>
      </c>
      <c r="AE13" s="56" t="str">
        <f t="shared" si="10"/>
        <v>x</v>
      </c>
      <c r="AF13" s="56" t="str">
        <f t="shared" si="10"/>
        <v>x</v>
      </c>
      <c r="AG13" s="56" t="str">
        <f t="shared" si="10"/>
        <v>x</v>
      </c>
      <c r="AH13" s="56" t="str">
        <f t="shared" si="10"/>
        <v>x</v>
      </c>
      <c r="AI13" s="56" t="str">
        <f t="shared" si="10"/>
        <v>x</v>
      </c>
      <c r="AJ13" s="56" t="str">
        <f t="shared" si="10"/>
        <v>x</v>
      </c>
      <c r="AK13" s="56" t="str">
        <f t="shared" si="10"/>
        <v>x</v>
      </c>
      <c r="AL13" s="56" t="str">
        <f t="shared" si="10"/>
        <v>x</v>
      </c>
      <c r="AM13" s="56" t="str">
        <f t="shared" si="10"/>
        <v>x</v>
      </c>
      <c r="AN13" s="56" t="str">
        <f t="shared" si="10"/>
        <v>x</v>
      </c>
      <c r="AO13" s="56" t="str">
        <f t="shared" si="10"/>
        <v>x</v>
      </c>
      <c r="AP13" s="56" t="str">
        <f t="shared" si="10"/>
        <v>x</v>
      </c>
      <c r="AQ13" s="56" t="str">
        <f t="shared" si="10"/>
        <v>x</v>
      </c>
      <c r="AR13" s="56" t="str">
        <f t="shared" si="10"/>
        <v>x</v>
      </c>
      <c r="AS13" s="56" t="str">
        <f t="shared" si="10"/>
        <v>x</v>
      </c>
      <c r="AT13" s="56" t="str">
        <f t="shared" si="10"/>
        <v>x</v>
      </c>
      <c r="AU13" s="56" t="str">
        <f t="shared" si="14"/>
        <v>x</v>
      </c>
      <c r="AV13" s="56" t="str">
        <f t="shared" si="14"/>
        <v>x</v>
      </c>
      <c r="AW13" s="56" t="str">
        <f t="shared" si="14"/>
        <v>x</v>
      </c>
      <c r="AX13" s="56" t="str">
        <f t="shared" si="14"/>
        <v>x</v>
      </c>
      <c r="AY13" s="56" t="str">
        <f t="shared" si="14"/>
        <v>x</v>
      </c>
      <c r="AZ13" s="56" t="str">
        <f t="shared" si="14"/>
        <v>x</v>
      </c>
      <c r="BA13" s="56" t="str">
        <f t="shared" si="14"/>
        <v>x</v>
      </c>
      <c r="BB13" s="56" t="str">
        <f t="shared" si="14"/>
        <v>x</v>
      </c>
      <c r="BC13" s="56" t="str">
        <f t="shared" si="14"/>
        <v>x</v>
      </c>
      <c r="BD13" s="56" t="str">
        <f t="shared" si="14"/>
        <v>x</v>
      </c>
      <c r="BE13" s="56" t="str">
        <f t="shared" si="14"/>
        <v>x</v>
      </c>
      <c r="BF13" s="56" t="str">
        <f t="shared" si="14"/>
        <v>x</v>
      </c>
      <c r="BG13" s="56" t="str">
        <f t="shared" si="14"/>
        <v>x</v>
      </c>
      <c r="BH13" s="56" t="str">
        <f t="shared" si="14"/>
        <v>x</v>
      </c>
      <c r="BI13" s="56" t="str">
        <f t="shared" si="14"/>
        <v>x</v>
      </c>
      <c r="BJ13" s="56" t="str">
        <f t="shared" si="14"/>
        <v>x</v>
      </c>
      <c r="BK13" s="56" t="str">
        <f t="shared" si="15"/>
        <v>x</v>
      </c>
      <c r="BL13" s="56" t="str">
        <f t="shared" si="15"/>
        <v>x</v>
      </c>
      <c r="BM13" s="56" t="str">
        <f t="shared" si="15"/>
        <v>x</v>
      </c>
      <c r="BN13" s="56" t="str">
        <f t="shared" si="15"/>
        <v>x</v>
      </c>
      <c r="BO13" s="56" t="str">
        <f t="shared" si="15"/>
        <v>x</v>
      </c>
      <c r="BP13" s="56" t="str">
        <f t="shared" si="15"/>
        <v>x</v>
      </c>
      <c r="BQ13" s="56" t="str">
        <f t="shared" si="15"/>
        <v>x</v>
      </c>
      <c r="BR13" s="56" t="str">
        <f t="shared" si="15"/>
        <v>x</v>
      </c>
      <c r="BS13" s="56" t="str">
        <f t="shared" si="15"/>
        <v>x</v>
      </c>
      <c r="BT13" s="56" t="str">
        <f t="shared" si="15"/>
        <v>x</v>
      </c>
      <c r="BU13" s="56" t="str">
        <f t="shared" si="15"/>
        <v>x</v>
      </c>
      <c r="BV13" s="56" t="str">
        <f t="shared" si="15"/>
        <v>x</v>
      </c>
      <c r="BW13" s="56" t="str">
        <f t="shared" si="15"/>
        <v>x</v>
      </c>
      <c r="BX13" s="56" t="str">
        <f t="shared" si="15"/>
        <v>x</v>
      </c>
      <c r="BY13" s="56" t="str">
        <f t="shared" si="15"/>
        <v>x</v>
      </c>
      <c r="BZ13" s="56" t="str">
        <f t="shared" si="11"/>
        <v>x</v>
      </c>
      <c r="CA13" s="56" t="str">
        <f t="shared" si="11"/>
        <v>x</v>
      </c>
      <c r="CB13" s="56" t="str">
        <f t="shared" si="11"/>
        <v>x</v>
      </c>
      <c r="CC13" s="56" t="str">
        <f t="shared" si="11"/>
        <v>x</v>
      </c>
      <c r="CD13" s="56" t="str">
        <f t="shared" si="11"/>
        <v>x</v>
      </c>
      <c r="CE13" s="56" t="str">
        <f t="shared" si="11"/>
        <v>x</v>
      </c>
      <c r="CF13" s="56" t="str">
        <f t="shared" si="11"/>
        <v>x</v>
      </c>
      <c r="CG13" s="56" t="str">
        <f t="shared" si="11"/>
        <v>x</v>
      </c>
      <c r="CH13" s="56" t="str">
        <f t="shared" si="11"/>
        <v>x</v>
      </c>
      <c r="CI13" s="56" t="str">
        <f t="shared" si="11"/>
        <v>x</v>
      </c>
      <c r="CJ13" s="56" t="str">
        <f t="shared" si="11"/>
        <v>x</v>
      </c>
      <c r="CK13" s="56" t="str">
        <f t="shared" si="11"/>
        <v>x</v>
      </c>
      <c r="CL13" s="56" t="str">
        <f t="shared" si="11"/>
        <v>x</v>
      </c>
      <c r="CM13" s="56" t="str">
        <f t="shared" si="11"/>
        <v>x</v>
      </c>
      <c r="CN13" s="56" t="str">
        <f t="shared" si="11"/>
        <v>x</v>
      </c>
      <c r="CO13" s="56" t="str">
        <f t="shared" si="11"/>
        <v>x</v>
      </c>
      <c r="CP13" s="56" t="str">
        <f t="shared" ref="CP13:DE32" si="17">IFERROR(IF(SEARCH(CP$5,$E13),$F13,"-"),"x")</f>
        <v>x</v>
      </c>
      <c r="CQ13" s="56" t="str">
        <f t="shared" si="17"/>
        <v>x</v>
      </c>
      <c r="CR13" s="56" t="str">
        <f t="shared" si="17"/>
        <v>x</v>
      </c>
      <c r="CS13" s="56" t="str">
        <f t="shared" si="17"/>
        <v>x</v>
      </c>
      <c r="CT13" s="56" t="str">
        <f t="shared" si="17"/>
        <v>x</v>
      </c>
      <c r="CU13" s="56" t="str">
        <f t="shared" si="17"/>
        <v>x</v>
      </c>
      <c r="CV13" s="56" t="str">
        <f t="shared" si="17"/>
        <v>x</v>
      </c>
      <c r="CW13" s="56" t="str">
        <f t="shared" si="17"/>
        <v>x</v>
      </c>
      <c r="CX13" s="56" t="str">
        <f t="shared" si="17"/>
        <v>x</v>
      </c>
      <c r="CY13" s="56" t="str">
        <f t="shared" si="17"/>
        <v>x</v>
      </c>
      <c r="CZ13" s="56" t="str">
        <f t="shared" si="17"/>
        <v>x</v>
      </c>
      <c r="DA13" s="56" t="str">
        <f t="shared" si="17"/>
        <v>x</v>
      </c>
      <c r="DB13" s="56" t="str">
        <f t="shared" si="17"/>
        <v>x</v>
      </c>
      <c r="DC13" s="56" t="str">
        <f t="shared" si="17"/>
        <v>x</v>
      </c>
      <c r="DD13" s="56" t="str">
        <f t="shared" si="17"/>
        <v>x</v>
      </c>
      <c r="DE13" s="56" t="str">
        <f t="shared" si="17"/>
        <v>x</v>
      </c>
      <c r="DF13" s="56" t="str">
        <f t="shared" si="16"/>
        <v>x</v>
      </c>
      <c r="DG13" s="56" t="str">
        <f t="shared" si="16"/>
        <v>x</v>
      </c>
      <c r="DH13" s="56" t="str">
        <f t="shared" si="16"/>
        <v>x</v>
      </c>
      <c r="DI13" s="56" t="str">
        <f t="shared" si="16"/>
        <v>x</v>
      </c>
      <c r="DJ13" s="56" t="str">
        <f t="shared" si="16"/>
        <v>x</v>
      </c>
      <c r="DK13" s="56" t="str">
        <f t="shared" si="16"/>
        <v>x</v>
      </c>
      <c r="DL13" s="56" t="str">
        <f t="shared" si="16"/>
        <v>--</v>
      </c>
      <c r="DM13" s="56" t="str">
        <f t="shared" si="6"/>
        <v>x</v>
      </c>
      <c r="DN13" s="56" t="str">
        <f t="shared" si="7"/>
        <v>x</v>
      </c>
      <c r="DO13" s="56" t="str">
        <f t="shared" si="7"/>
        <v>x</v>
      </c>
    </row>
    <row r="14" spans="1:119" s="7" customFormat="1" ht="35.25" customHeight="1">
      <c r="A14" s="29"/>
      <c r="B14" s="30" t="s">
        <v>124</v>
      </c>
      <c r="C14" s="29" t="s">
        <v>289</v>
      </c>
      <c r="D14" s="130" t="s">
        <v>222</v>
      </c>
      <c r="E14" s="23" t="s">
        <v>173</v>
      </c>
      <c r="F14" s="36" t="s">
        <v>3</v>
      </c>
      <c r="G14" s="37"/>
      <c r="H14" s="37">
        <v>2</v>
      </c>
      <c r="I14" s="37"/>
      <c r="J14" s="117"/>
      <c r="K14" s="56" t="str">
        <f t="shared" si="8"/>
        <v>x</v>
      </c>
      <c r="L14" s="56" t="str">
        <f t="shared" si="8"/>
        <v>x</v>
      </c>
      <c r="M14" s="56" t="str">
        <f t="shared" si="8"/>
        <v>x</v>
      </c>
      <c r="N14" s="56" t="str">
        <f t="shared" si="8"/>
        <v>x</v>
      </c>
      <c r="O14" s="56" t="str">
        <f t="shared" si="8"/>
        <v>x</v>
      </c>
      <c r="P14" s="56" t="str">
        <f t="shared" si="8"/>
        <v>x</v>
      </c>
      <c r="Q14" s="56" t="str">
        <f t="shared" si="8"/>
        <v>x</v>
      </c>
      <c r="R14" s="56" t="str">
        <f t="shared" si="8"/>
        <v>--</v>
      </c>
      <c r="S14" s="56" t="str">
        <f t="shared" si="8"/>
        <v>x</v>
      </c>
      <c r="T14" s="56" t="str">
        <f t="shared" si="8"/>
        <v>x</v>
      </c>
      <c r="U14" s="56" t="str">
        <f t="shared" si="9"/>
        <v>x</v>
      </c>
      <c r="V14" s="56" t="str">
        <f t="shared" si="9"/>
        <v>x</v>
      </c>
      <c r="W14" s="56" t="str">
        <f t="shared" si="9"/>
        <v>x</v>
      </c>
      <c r="X14" s="56" t="str">
        <f t="shared" si="9"/>
        <v>x</v>
      </c>
      <c r="Y14" s="56" t="str">
        <f t="shared" si="9"/>
        <v>x</v>
      </c>
      <c r="Z14" s="56" t="str">
        <f t="shared" si="9"/>
        <v>x</v>
      </c>
      <c r="AA14" s="56" t="str">
        <f t="shared" si="9"/>
        <v>x</v>
      </c>
      <c r="AB14" s="56" t="str">
        <f t="shared" si="9"/>
        <v>x</v>
      </c>
      <c r="AC14" s="56" t="str">
        <f t="shared" si="9"/>
        <v>x</v>
      </c>
      <c r="AD14" s="56" t="str">
        <f t="shared" si="9"/>
        <v>x</v>
      </c>
      <c r="AE14" s="56" t="str">
        <f t="shared" si="10"/>
        <v>x</v>
      </c>
      <c r="AF14" s="56" t="str">
        <f t="shared" si="10"/>
        <v>x</v>
      </c>
      <c r="AG14" s="56" t="str">
        <f t="shared" si="10"/>
        <v>x</v>
      </c>
      <c r="AH14" s="56" t="str">
        <f t="shared" si="10"/>
        <v>x</v>
      </c>
      <c r="AI14" s="56" t="str">
        <f t="shared" si="10"/>
        <v>x</v>
      </c>
      <c r="AJ14" s="56" t="str">
        <f t="shared" si="10"/>
        <v>x</v>
      </c>
      <c r="AK14" s="56" t="str">
        <f t="shared" si="10"/>
        <v>x</v>
      </c>
      <c r="AL14" s="56" t="str">
        <f t="shared" si="10"/>
        <v>x</v>
      </c>
      <c r="AM14" s="56" t="str">
        <f t="shared" si="10"/>
        <v>x</v>
      </c>
      <c r="AN14" s="56" t="str">
        <f t="shared" si="10"/>
        <v>x</v>
      </c>
      <c r="AO14" s="56" t="str">
        <f t="shared" si="10"/>
        <v>x</v>
      </c>
      <c r="AP14" s="56" t="str">
        <f t="shared" si="10"/>
        <v>x</v>
      </c>
      <c r="AQ14" s="56" t="str">
        <f t="shared" si="10"/>
        <v>x</v>
      </c>
      <c r="AR14" s="56" t="str">
        <f t="shared" si="10"/>
        <v>x</v>
      </c>
      <c r="AS14" s="56" t="str">
        <f t="shared" si="10"/>
        <v>x</v>
      </c>
      <c r="AT14" s="56" t="str">
        <f t="shared" si="10"/>
        <v>x</v>
      </c>
      <c r="AU14" s="56" t="str">
        <f t="shared" si="14"/>
        <v>x</v>
      </c>
      <c r="AV14" s="56" t="str">
        <f t="shared" si="14"/>
        <v>x</v>
      </c>
      <c r="AW14" s="56" t="str">
        <f t="shared" si="14"/>
        <v>x</v>
      </c>
      <c r="AX14" s="56" t="str">
        <f t="shared" si="14"/>
        <v>x</v>
      </c>
      <c r="AY14" s="56" t="str">
        <f t="shared" si="14"/>
        <v>x</v>
      </c>
      <c r="AZ14" s="56" t="str">
        <f t="shared" si="14"/>
        <v>x</v>
      </c>
      <c r="BA14" s="56" t="str">
        <f t="shared" si="14"/>
        <v>x</v>
      </c>
      <c r="BB14" s="56" t="str">
        <f t="shared" si="14"/>
        <v>x</v>
      </c>
      <c r="BC14" s="56" t="str">
        <f t="shared" si="14"/>
        <v>x</v>
      </c>
      <c r="BD14" s="56" t="str">
        <f t="shared" si="14"/>
        <v>x</v>
      </c>
      <c r="BE14" s="56" t="str">
        <f t="shared" si="14"/>
        <v>x</v>
      </c>
      <c r="BF14" s="56" t="str">
        <f t="shared" si="14"/>
        <v>x</v>
      </c>
      <c r="BG14" s="56" t="str">
        <f t="shared" si="14"/>
        <v>x</v>
      </c>
      <c r="BH14" s="56" t="str">
        <f t="shared" si="14"/>
        <v>x</v>
      </c>
      <c r="BI14" s="56" t="str">
        <f t="shared" si="14"/>
        <v>x</v>
      </c>
      <c r="BJ14" s="56" t="str">
        <f t="shared" si="14"/>
        <v>x</v>
      </c>
      <c r="BK14" s="56" t="str">
        <f t="shared" si="15"/>
        <v>x</v>
      </c>
      <c r="BL14" s="56" t="str">
        <f t="shared" si="15"/>
        <v>x</v>
      </c>
      <c r="BM14" s="56" t="str">
        <f t="shared" si="15"/>
        <v>x</v>
      </c>
      <c r="BN14" s="56" t="str">
        <f t="shared" si="15"/>
        <v>x</v>
      </c>
      <c r="BO14" s="56" t="str">
        <f t="shared" si="15"/>
        <v>x</v>
      </c>
      <c r="BP14" s="56" t="str">
        <f t="shared" si="15"/>
        <v>x</v>
      </c>
      <c r="BQ14" s="56" t="str">
        <f t="shared" si="15"/>
        <v>x</v>
      </c>
      <c r="BR14" s="56" t="str">
        <f t="shared" si="15"/>
        <v>x</v>
      </c>
      <c r="BS14" s="56" t="str">
        <f t="shared" si="15"/>
        <v>x</v>
      </c>
      <c r="BT14" s="56" t="str">
        <f t="shared" si="15"/>
        <v>x</v>
      </c>
      <c r="BU14" s="56" t="str">
        <f t="shared" si="15"/>
        <v>x</v>
      </c>
      <c r="BV14" s="56" t="str">
        <f t="shared" si="15"/>
        <v>x</v>
      </c>
      <c r="BW14" s="56" t="str">
        <f t="shared" si="15"/>
        <v>x</v>
      </c>
      <c r="BX14" s="56" t="str">
        <f t="shared" si="15"/>
        <v>x</v>
      </c>
      <c r="BY14" s="56" t="str">
        <f t="shared" si="15"/>
        <v>x</v>
      </c>
      <c r="BZ14" s="56" t="str">
        <f t="shared" si="11"/>
        <v>x</v>
      </c>
      <c r="CA14" s="56" t="str">
        <f t="shared" si="11"/>
        <v>x</v>
      </c>
      <c r="CB14" s="56" t="str">
        <f t="shared" si="11"/>
        <v>x</v>
      </c>
      <c r="CC14" s="56" t="str">
        <f t="shared" si="11"/>
        <v>x</v>
      </c>
      <c r="CD14" s="56" t="str">
        <f t="shared" si="11"/>
        <v>x</v>
      </c>
      <c r="CE14" s="56" t="str">
        <f t="shared" si="11"/>
        <v>x</v>
      </c>
      <c r="CF14" s="56" t="str">
        <f t="shared" si="11"/>
        <v>x</v>
      </c>
      <c r="CG14" s="56" t="str">
        <f t="shared" si="11"/>
        <v>x</v>
      </c>
      <c r="CH14" s="56" t="str">
        <f t="shared" si="11"/>
        <v>x</v>
      </c>
      <c r="CI14" s="56" t="str">
        <f t="shared" si="11"/>
        <v>x</v>
      </c>
      <c r="CJ14" s="56" t="str">
        <f t="shared" si="11"/>
        <v>x</v>
      </c>
      <c r="CK14" s="56" t="str">
        <f t="shared" si="11"/>
        <v>--</v>
      </c>
      <c r="CL14" s="56" t="str">
        <f t="shared" si="11"/>
        <v>x</v>
      </c>
      <c r="CM14" s="56" t="str">
        <f t="shared" si="11"/>
        <v>x</v>
      </c>
      <c r="CN14" s="56" t="str">
        <f t="shared" si="11"/>
        <v>x</v>
      </c>
      <c r="CO14" s="56" t="str">
        <f t="shared" si="11"/>
        <v>x</v>
      </c>
      <c r="CP14" s="56" t="str">
        <f t="shared" si="17"/>
        <v>x</v>
      </c>
      <c r="CQ14" s="56" t="str">
        <f t="shared" si="17"/>
        <v>x</v>
      </c>
      <c r="CR14" s="56" t="str">
        <f t="shared" si="17"/>
        <v>x</v>
      </c>
      <c r="CS14" s="56" t="str">
        <f t="shared" si="17"/>
        <v>x</v>
      </c>
      <c r="CT14" s="56" t="str">
        <f t="shared" si="17"/>
        <v>x</v>
      </c>
      <c r="CU14" s="56" t="str">
        <f t="shared" si="17"/>
        <v>x</v>
      </c>
      <c r="CV14" s="56" t="str">
        <f t="shared" si="17"/>
        <v>x</v>
      </c>
      <c r="CW14" s="56" t="str">
        <f t="shared" si="17"/>
        <v>x</v>
      </c>
      <c r="CX14" s="56" t="str">
        <f t="shared" si="17"/>
        <v>x</v>
      </c>
      <c r="CY14" s="56" t="str">
        <f t="shared" si="17"/>
        <v>x</v>
      </c>
      <c r="CZ14" s="56" t="str">
        <f t="shared" si="17"/>
        <v>x</v>
      </c>
      <c r="DA14" s="56" t="str">
        <f t="shared" si="17"/>
        <v>x</v>
      </c>
      <c r="DB14" s="56" t="str">
        <f t="shared" si="17"/>
        <v>x</v>
      </c>
      <c r="DC14" s="56" t="str">
        <f t="shared" si="17"/>
        <v>x</v>
      </c>
      <c r="DD14" s="56" t="str">
        <f t="shared" si="17"/>
        <v>x</v>
      </c>
      <c r="DE14" s="56" t="str">
        <f t="shared" si="17"/>
        <v>x</v>
      </c>
      <c r="DF14" s="56" t="str">
        <f t="shared" si="16"/>
        <v>x</v>
      </c>
      <c r="DG14" s="56" t="str">
        <f t="shared" si="16"/>
        <v>x</v>
      </c>
      <c r="DH14" s="56" t="str">
        <f t="shared" si="16"/>
        <v>x</v>
      </c>
      <c r="DI14" s="56" t="str">
        <f t="shared" si="16"/>
        <v>x</v>
      </c>
      <c r="DJ14" s="56" t="str">
        <f t="shared" si="16"/>
        <v>x</v>
      </c>
      <c r="DK14" s="56" t="str">
        <f t="shared" si="16"/>
        <v>x</v>
      </c>
      <c r="DL14" s="56" t="str">
        <f t="shared" si="16"/>
        <v>x</v>
      </c>
      <c r="DM14" s="56" t="str">
        <f t="shared" si="6"/>
        <v>x</v>
      </c>
      <c r="DN14" s="56" t="str">
        <f t="shared" si="7"/>
        <v>x</v>
      </c>
      <c r="DO14" s="56" t="str">
        <f t="shared" si="7"/>
        <v>x</v>
      </c>
    </row>
    <row r="15" spans="1:119" s="7" customFormat="1" ht="57.6">
      <c r="A15" s="52" t="s">
        <v>202</v>
      </c>
      <c r="B15" s="30" t="s">
        <v>122</v>
      </c>
      <c r="C15" s="29" t="s">
        <v>292</v>
      </c>
      <c r="D15" s="130" t="s">
        <v>223</v>
      </c>
      <c r="E15" s="23" t="s">
        <v>181</v>
      </c>
      <c r="F15" s="36" t="s">
        <v>3</v>
      </c>
      <c r="G15" s="37"/>
      <c r="H15" s="37">
        <v>3</v>
      </c>
      <c r="I15" s="37"/>
      <c r="J15" s="119"/>
      <c r="K15" s="56" t="str">
        <f t="shared" si="8"/>
        <v>x</v>
      </c>
      <c r="L15" s="56" t="str">
        <f t="shared" si="8"/>
        <v>x</v>
      </c>
      <c r="M15" s="56" t="str">
        <f t="shared" si="8"/>
        <v>x</v>
      </c>
      <c r="N15" s="56" t="str">
        <f t="shared" si="8"/>
        <v>x</v>
      </c>
      <c r="O15" s="56" t="str">
        <f t="shared" si="8"/>
        <v>x</v>
      </c>
      <c r="P15" s="56" t="str">
        <f t="shared" si="8"/>
        <v>x</v>
      </c>
      <c r="Q15" s="56" t="str">
        <f t="shared" si="8"/>
        <v>x</v>
      </c>
      <c r="R15" s="56" t="str">
        <f t="shared" si="8"/>
        <v>x</v>
      </c>
      <c r="S15" s="56" t="str">
        <f t="shared" si="8"/>
        <v>--</v>
      </c>
      <c r="T15" s="56" t="str">
        <f t="shared" si="8"/>
        <v>x</v>
      </c>
      <c r="U15" s="56" t="str">
        <f t="shared" si="9"/>
        <v>x</v>
      </c>
      <c r="V15" s="56" t="str">
        <f t="shared" si="9"/>
        <v>x</v>
      </c>
      <c r="W15" s="56" t="str">
        <f t="shared" si="9"/>
        <v>x</v>
      </c>
      <c r="X15" s="56" t="str">
        <f t="shared" si="9"/>
        <v>x</v>
      </c>
      <c r="Y15" s="56" t="str">
        <f t="shared" si="9"/>
        <v>x</v>
      </c>
      <c r="Z15" s="56" t="str">
        <f t="shared" si="9"/>
        <v>x</v>
      </c>
      <c r="AA15" s="56" t="str">
        <f t="shared" si="9"/>
        <v>x</v>
      </c>
      <c r="AB15" s="56" t="str">
        <f t="shared" si="9"/>
        <v>x</v>
      </c>
      <c r="AC15" s="56" t="str">
        <f t="shared" si="9"/>
        <v>x</v>
      </c>
      <c r="AD15" s="56" t="str">
        <f t="shared" si="9"/>
        <v>x</v>
      </c>
      <c r="AE15" s="56" t="str">
        <f t="shared" si="10"/>
        <v>x</v>
      </c>
      <c r="AF15" s="56" t="str">
        <f t="shared" si="10"/>
        <v>x</v>
      </c>
      <c r="AG15" s="56" t="str">
        <f t="shared" si="10"/>
        <v>x</v>
      </c>
      <c r="AH15" s="56" t="str">
        <f t="shared" si="10"/>
        <v>x</v>
      </c>
      <c r="AI15" s="56" t="str">
        <f t="shared" si="10"/>
        <v>x</v>
      </c>
      <c r="AJ15" s="56" t="str">
        <f t="shared" si="10"/>
        <v>x</v>
      </c>
      <c r="AK15" s="56" t="str">
        <f t="shared" si="10"/>
        <v>x</v>
      </c>
      <c r="AL15" s="56" t="str">
        <f t="shared" si="10"/>
        <v>x</v>
      </c>
      <c r="AM15" s="56" t="str">
        <f t="shared" si="10"/>
        <v>x</v>
      </c>
      <c r="AN15" s="56" t="str">
        <f t="shared" si="10"/>
        <v>x</v>
      </c>
      <c r="AO15" s="56" t="str">
        <f t="shared" si="10"/>
        <v>x</v>
      </c>
      <c r="AP15" s="56" t="str">
        <f t="shared" si="10"/>
        <v>x</v>
      </c>
      <c r="AQ15" s="56" t="str">
        <f t="shared" si="10"/>
        <v>x</v>
      </c>
      <c r="AR15" s="56" t="str">
        <f t="shared" si="10"/>
        <v>x</v>
      </c>
      <c r="AS15" s="56" t="str">
        <f t="shared" si="10"/>
        <v>x</v>
      </c>
      <c r="AT15" s="56" t="str">
        <f t="shared" si="10"/>
        <v>x</v>
      </c>
      <c r="AU15" s="56" t="str">
        <f t="shared" si="14"/>
        <v>x</v>
      </c>
      <c r="AV15" s="56" t="str">
        <f t="shared" si="14"/>
        <v>x</v>
      </c>
      <c r="AW15" s="56" t="str">
        <f t="shared" si="14"/>
        <v>x</v>
      </c>
      <c r="AX15" s="56" t="str">
        <f t="shared" si="14"/>
        <v>x</v>
      </c>
      <c r="AY15" s="56" t="str">
        <f t="shared" si="14"/>
        <v>x</v>
      </c>
      <c r="AZ15" s="56" t="str">
        <f t="shared" si="14"/>
        <v>x</v>
      </c>
      <c r="BA15" s="56" t="str">
        <f t="shared" si="14"/>
        <v>x</v>
      </c>
      <c r="BB15" s="56" t="str">
        <f t="shared" si="14"/>
        <v>x</v>
      </c>
      <c r="BC15" s="56" t="str">
        <f t="shared" si="14"/>
        <v>x</v>
      </c>
      <c r="BD15" s="56" t="str">
        <f t="shared" si="14"/>
        <v>x</v>
      </c>
      <c r="BE15" s="56" t="str">
        <f t="shared" si="14"/>
        <v>x</v>
      </c>
      <c r="BF15" s="56" t="str">
        <f t="shared" si="14"/>
        <v>x</v>
      </c>
      <c r="BG15" s="56" t="str">
        <f t="shared" si="14"/>
        <v>x</v>
      </c>
      <c r="BH15" s="56" t="str">
        <f t="shared" si="14"/>
        <v>x</v>
      </c>
      <c r="BI15" s="56" t="str">
        <f t="shared" si="14"/>
        <v>x</v>
      </c>
      <c r="BJ15" s="56" t="str">
        <f t="shared" si="14"/>
        <v>x</v>
      </c>
      <c r="BK15" s="56" t="str">
        <f t="shared" si="15"/>
        <v>x</v>
      </c>
      <c r="BL15" s="56" t="str">
        <f t="shared" si="15"/>
        <v>x</v>
      </c>
      <c r="BM15" s="56" t="str">
        <f t="shared" si="15"/>
        <v>x</v>
      </c>
      <c r="BN15" s="56" t="str">
        <f t="shared" si="15"/>
        <v>x</v>
      </c>
      <c r="BO15" s="56" t="str">
        <f t="shared" si="15"/>
        <v>x</v>
      </c>
      <c r="BP15" s="56" t="str">
        <f t="shared" si="15"/>
        <v>x</v>
      </c>
      <c r="BQ15" s="56" t="str">
        <f t="shared" si="15"/>
        <v>x</v>
      </c>
      <c r="BR15" s="56" t="str">
        <f t="shared" si="15"/>
        <v>x</v>
      </c>
      <c r="BS15" s="56" t="str">
        <f t="shared" si="15"/>
        <v>x</v>
      </c>
      <c r="BT15" s="56" t="str">
        <f t="shared" si="15"/>
        <v>x</v>
      </c>
      <c r="BU15" s="56" t="str">
        <f t="shared" si="15"/>
        <v>x</v>
      </c>
      <c r="BV15" s="56" t="str">
        <f t="shared" si="15"/>
        <v>x</v>
      </c>
      <c r="BW15" s="56" t="str">
        <f t="shared" si="15"/>
        <v>x</v>
      </c>
      <c r="BX15" s="56" t="str">
        <f t="shared" si="15"/>
        <v>x</v>
      </c>
      <c r="BY15" s="56" t="str">
        <f t="shared" si="15"/>
        <v>x</v>
      </c>
      <c r="BZ15" s="56" t="str">
        <f t="shared" si="11"/>
        <v>x</v>
      </c>
      <c r="CA15" s="56" t="str">
        <f t="shared" si="11"/>
        <v>x</v>
      </c>
      <c r="CB15" s="56" t="str">
        <f t="shared" si="11"/>
        <v>x</v>
      </c>
      <c r="CC15" s="56" t="str">
        <f t="shared" si="11"/>
        <v>x</v>
      </c>
      <c r="CD15" s="56" t="str">
        <f t="shared" si="11"/>
        <v>x</v>
      </c>
      <c r="CE15" s="56" t="str">
        <f t="shared" si="11"/>
        <v>x</v>
      </c>
      <c r="CF15" s="56" t="str">
        <f t="shared" si="11"/>
        <v>x</v>
      </c>
      <c r="CG15" s="56" t="str">
        <f t="shared" si="11"/>
        <v>x</v>
      </c>
      <c r="CH15" s="56" t="str">
        <f t="shared" si="11"/>
        <v>x</v>
      </c>
      <c r="CI15" s="56" t="str">
        <f t="shared" si="11"/>
        <v>x</v>
      </c>
      <c r="CJ15" s="56" t="str">
        <f t="shared" si="11"/>
        <v>x</v>
      </c>
      <c r="CK15" s="56" t="str">
        <f t="shared" si="11"/>
        <v>x</v>
      </c>
      <c r="CL15" s="56" t="str">
        <f t="shared" si="11"/>
        <v>x</v>
      </c>
      <c r="CM15" s="56" t="str">
        <f t="shared" si="11"/>
        <v>x</v>
      </c>
      <c r="CN15" s="56" t="str">
        <f t="shared" si="11"/>
        <v>x</v>
      </c>
      <c r="CO15" s="56" t="str">
        <f t="shared" si="11"/>
        <v>x</v>
      </c>
      <c r="CP15" s="56" t="str">
        <f t="shared" si="17"/>
        <v>x</v>
      </c>
      <c r="CQ15" s="56" t="str">
        <f t="shared" si="17"/>
        <v>x</v>
      </c>
      <c r="CR15" s="56" t="str">
        <f t="shared" si="17"/>
        <v>x</v>
      </c>
      <c r="CS15" s="56" t="str">
        <f t="shared" si="17"/>
        <v>--</v>
      </c>
      <c r="CT15" s="56" t="str">
        <f t="shared" si="17"/>
        <v>x</v>
      </c>
      <c r="CU15" s="56" t="str">
        <f t="shared" si="17"/>
        <v>x</v>
      </c>
      <c r="CV15" s="56" t="str">
        <f t="shared" si="17"/>
        <v>x</v>
      </c>
      <c r="CW15" s="56" t="str">
        <f t="shared" si="17"/>
        <v>x</v>
      </c>
      <c r="CX15" s="56" t="str">
        <f t="shared" si="17"/>
        <v>x</v>
      </c>
      <c r="CY15" s="56" t="str">
        <f t="shared" si="17"/>
        <v>x</v>
      </c>
      <c r="CZ15" s="56" t="str">
        <f t="shared" si="17"/>
        <v>x</v>
      </c>
      <c r="DA15" s="56" t="str">
        <f t="shared" si="17"/>
        <v>x</v>
      </c>
      <c r="DB15" s="56" t="str">
        <f t="shared" si="17"/>
        <v>x</v>
      </c>
      <c r="DC15" s="56" t="str">
        <f t="shared" si="17"/>
        <v>x</v>
      </c>
      <c r="DD15" s="56" t="str">
        <f t="shared" si="17"/>
        <v>x</v>
      </c>
      <c r="DE15" s="56" t="str">
        <f t="shared" si="17"/>
        <v>x</v>
      </c>
      <c r="DF15" s="56" t="str">
        <f t="shared" si="16"/>
        <v>x</v>
      </c>
      <c r="DG15" s="56" t="str">
        <f t="shared" si="16"/>
        <v>x</v>
      </c>
      <c r="DH15" s="56" t="str">
        <f t="shared" si="16"/>
        <v>x</v>
      </c>
      <c r="DI15" s="56" t="str">
        <f t="shared" si="16"/>
        <v>x</v>
      </c>
      <c r="DJ15" s="56" t="str">
        <f t="shared" si="16"/>
        <v>x</v>
      </c>
      <c r="DK15" s="56" t="str">
        <f t="shared" si="16"/>
        <v>x</v>
      </c>
      <c r="DL15" s="56" t="str">
        <f t="shared" si="16"/>
        <v>x</v>
      </c>
      <c r="DM15" s="56" t="str">
        <f t="shared" si="6"/>
        <v>x</v>
      </c>
      <c r="DN15" s="56" t="str">
        <f t="shared" si="7"/>
        <v>x</v>
      </c>
      <c r="DO15" s="56" t="str">
        <f t="shared" si="7"/>
        <v>x</v>
      </c>
    </row>
    <row r="16" spans="1:119" s="7" customFormat="1" ht="27.6">
      <c r="A16" s="52" t="s">
        <v>274</v>
      </c>
      <c r="B16" s="30" t="s">
        <v>122</v>
      </c>
      <c r="C16" s="145" t="s">
        <v>368</v>
      </c>
      <c r="D16" s="130" t="s">
        <v>224</v>
      </c>
      <c r="E16" s="23" t="s">
        <v>177</v>
      </c>
      <c r="F16" s="36" t="s">
        <v>3</v>
      </c>
      <c r="G16" s="37"/>
      <c r="H16" s="37">
        <v>4</v>
      </c>
      <c r="I16" s="37"/>
      <c r="J16" s="117"/>
      <c r="K16" s="56" t="str">
        <f t="shared" si="8"/>
        <v>x</v>
      </c>
      <c r="L16" s="56" t="str">
        <f t="shared" si="8"/>
        <v>x</v>
      </c>
      <c r="M16" s="56" t="str">
        <f t="shared" si="8"/>
        <v>x</v>
      </c>
      <c r="N16" s="56" t="str">
        <f t="shared" si="8"/>
        <v>x</v>
      </c>
      <c r="O16" s="56" t="str">
        <f t="shared" si="8"/>
        <v>x</v>
      </c>
      <c r="P16" s="56" t="str">
        <f t="shared" si="8"/>
        <v>x</v>
      </c>
      <c r="Q16" s="56" t="str">
        <f t="shared" si="8"/>
        <v>x</v>
      </c>
      <c r="R16" s="56" t="str">
        <f t="shared" si="8"/>
        <v>x</v>
      </c>
      <c r="S16" s="56" t="str">
        <f t="shared" si="8"/>
        <v>x</v>
      </c>
      <c r="T16" s="56" t="str">
        <f t="shared" si="8"/>
        <v>--</v>
      </c>
      <c r="U16" s="56" t="str">
        <f t="shared" si="9"/>
        <v>x</v>
      </c>
      <c r="V16" s="56" t="str">
        <f t="shared" si="9"/>
        <v>x</v>
      </c>
      <c r="W16" s="56" t="str">
        <f t="shared" si="9"/>
        <v>x</v>
      </c>
      <c r="X16" s="56" t="str">
        <f t="shared" si="9"/>
        <v>x</v>
      </c>
      <c r="Y16" s="56" t="str">
        <f t="shared" si="9"/>
        <v>x</v>
      </c>
      <c r="Z16" s="56" t="str">
        <f t="shared" si="9"/>
        <v>x</v>
      </c>
      <c r="AA16" s="56" t="str">
        <f t="shared" si="9"/>
        <v>x</v>
      </c>
      <c r="AB16" s="56" t="str">
        <f t="shared" si="9"/>
        <v>x</v>
      </c>
      <c r="AC16" s="56" t="str">
        <f t="shared" si="9"/>
        <v>x</v>
      </c>
      <c r="AD16" s="56" t="str">
        <f t="shared" si="9"/>
        <v>x</v>
      </c>
      <c r="AE16" s="56" t="str">
        <f t="shared" si="10"/>
        <v>x</v>
      </c>
      <c r="AF16" s="56" t="str">
        <f t="shared" si="10"/>
        <v>x</v>
      </c>
      <c r="AG16" s="56" t="str">
        <f t="shared" si="10"/>
        <v>x</v>
      </c>
      <c r="AH16" s="56" t="str">
        <f t="shared" si="10"/>
        <v>x</v>
      </c>
      <c r="AI16" s="56" t="str">
        <f t="shared" si="10"/>
        <v>x</v>
      </c>
      <c r="AJ16" s="56" t="str">
        <f t="shared" si="10"/>
        <v>x</v>
      </c>
      <c r="AK16" s="56" t="str">
        <f t="shared" si="10"/>
        <v>x</v>
      </c>
      <c r="AL16" s="56" t="str">
        <f t="shared" si="10"/>
        <v>x</v>
      </c>
      <c r="AM16" s="56" t="str">
        <f t="shared" ref="AM16:BB43" si="18">IFERROR(IF(SEARCH(AM$5,$D16),$F16,"-"),"x")</f>
        <v>x</v>
      </c>
      <c r="AN16" s="56" t="str">
        <f t="shared" si="18"/>
        <v>x</v>
      </c>
      <c r="AO16" s="56" t="str">
        <f t="shared" si="18"/>
        <v>x</v>
      </c>
      <c r="AP16" s="56" t="str">
        <f t="shared" si="18"/>
        <v>x</v>
      </c>
      <c r="AQ16" s="56" t="str">
        <f t="shared" si="18"/>
        <v>x</v>
      </c>
      <c r="AR16" s="56" t="str">
        <f t="shared" si="18"/>
        <v>x</v>
      </c>
      <c r="AS16" s="56" t="str">
        <f t="shared" si="18"/>
        <v>x</v>
      </c>
      <c r="AT16" s="56" t="str">
        <f t="shared" si="18"/>
        <v>x</v>
      </c>
      <c r="AU16" s="56" t="str">
        <f t="shared" si="18"/>
        <v>x</v>
      </c>
      <c r="AV16" s="56" t="str">
        <f t="shared" si="18"/>
        <v>x</v>
      </c>
      <c r="AW16" s="56" t="str">
        <f t="shared" si="18"/>
        <v>x</v>
      </c>
      <c r="AX16" s="56" t="str">
        <f t="shared" si="18"/>
        <v>x</v>
      </c>
      <c r="AY16" s="56" t="str">
        <f t="shared" si="18"/>
        <v>x</v>
      </c>
      <c r="AZ16" s="56" t="str">
        <f t="shared" si="18"/>
        <v>x</v>
      </c>
      <c r="BA16" s="56" t="str">
        <f t="shared" si="18"/>
        <v>x</v>
      </c>
      <c r="BB16" s="56" t="str">
        <f t="shared" si="18"/>
        <v>x</v>
      </c>
      <c r="BC16" s="56" t="str">
        <f t="shared" si="14"/>
        <v>x</v>
      </c>
      <c r="BD16" s="56" t="str">
        <f t="shared" si="14"/>
        <v>x</v>
      </c>
      <c r="BE16" s="56" t="str">
        <f t="shared" si="14"/>
        <v>x</v>
      </c>
      <c r="BF16" s="56" t="str">
        <f t="shared" si="14"/>
        <v>x</v>
      </c>
      <c r="BG16" s="56" t="str">
        <f t="shared" si="14"/>
        <v>x</v>
      </c>
      <c r="BH16" s="56" t="str">
        <f t="shared" si="14"/>
        <v>x</v>
      </c>
      <c r="BI16" s="56" t="str">
        <f t="shared" si="14"/>
        <v>x</v>
      </c>
      <c r="BJ16" s="56" t="str">
        <f t="shared" si="14"/>
        <v>x</v>
      </c>
      <c r="BK16" s="56" t="str">
        <f t="shared" si="15"/>
        <v>x</v>
      </c>
      <c r="BL16" s="56" t="str">
        <f t="shared" si="15"/>
        <v>x</v>
      </c>
      <c r="BM16" s="56" t="str">
        <f t="shared" si="15"/>
        <v>x</v>
      </c>
      <c r="BN16" s="56" t="str">
        <f t="shared" si="15"/>
        <v>x</v>
      </c>
      <c r="BO16" s="56" t="str">
        <f t="shared" si="15"/>
        <v>x</v>
      </c>
      <c r="BP16" s="56" t="str">
        <f t="shared" si="15"/>
        <v>x</v>
      </c>
      <c r="BQ16" s="56" t="str">
        <f t="shared" si="15"/>
        <v>x</v>
      </c>
      <c r="BR16" s="56" t="str">
        <f t="shared" si="15"/>
        <v>x</v>
      </c>
      <c r="BS16" s="56" t="str">
        <f t="shared" si="15"/>
        <v>x</v>
      </c>
      <c r="BT16" s="56" t="str">
        <f t="shared" si="15"/>
        <v>x</v>
      </c>
      <c r="BU16" s="56" t="str">
        <f t="shared" si="15"/>
        <v>x</v>
      </c>
      <c r="BV16" s="56" t="str">
        <f t="shared" si="15"/>
        <v>x</v>
      </c>
      <c r="BW16" s="56" t="str">
        <f t="shared" si="15"/>
        <v>x</v>
      </c>
      <c r="BX16" s="56" t="str">
        <f t="shared" si="15"/>
        <v>x</v>
      </c>
      <c r="BY16" s="56" t="str">
        <f t="shared" si="15"/>
        <v>x</v>
      </c>
      <c r="BZ16" s="56" t="str">
        <f t="shared" si="11"/>
        <v>x</v>
      </c>
      <c r="CA16" s="56" t="str">
        <f t="shared" si="11"/>
        <v>x</v>
      </c>
      <c r="CB16" s="56" t="str">
        <f t="shared" si="11"/>
        <v>x</v>
      </c>
      <c r="CC16" s="56" t="str">
        <f t="shared" si="11"/>
        <v>x</v>
      </c>
      <c r="CD16" s="56" t="str">
        <f t="shared" si="11"/>
        <v>x</v>
      </c>
      <c r="CE16" s="56" t="str">
        <f t="shared" si="11"/>
        <v>x</v>
      </c>
      <c r="CF16" s="56" t="str">
        <f t="shared" si="11"/>
        <v>x</v>
      </c>
      <c r="CG16" s="56" t="str">
        <f t="shared" si="11"/>
        <v>x</v>
      </c>
      <c r="CH16" s="56" t="str">
        <f t="shared" si="11"/>
        <v>x</v>
      </c>
      <c r="CI16" s="56" t="str">
        <f t="shared" si="11"/>
        <v>x</v>
      </c>
      <c r="CJ16" s="56" t="str">
        <f t="shared" si="11"/>
        <v>x</v>
      </c>
      <c r="CK16" s="56" t="str">
        <f t="shared" si="11"/>
        <v>x</v>
      </c>
      <c r="CL16" s="56" t="str">
        <f t="shared" si="11"/>
        <v>x</v>
      </c>
      <c r="CM16" s="56" t="str">
        <f t="shared" si="11"/>
        <v>x</v>
      </c>
      <c r="CN16" s="56" t="str">
        <f t="shared" si="11"/>
        <v>x</v>
      </c>
      <c r="CO16" s="56" t="str">
        <f t="shared" si="11"/>
        <v>--</v>
      </c>
      <c r="CP16" s="56" t="str">
        <f t="shared" si="17"/>
        <v>x</v>
      </c>
      <c r="CQ16" s="56" t="str">
        <f t="shared" si="17"/>
        <v>x</v>
      </c>
      <c r="CR16" s="56" t="str">
        <f t="shared" si="17"/>
        <v>x</v>
      </c>
      <c r="CS16" s="56" t="str">
        <f t="shared" si="17"/>
        <v>x</v>
      </c>
      <c r="CT16" s="56" t="str">
        <f t="shared" si="17"/>
        <v>x</v>
      </c>
      <c r="CU16" s="56" t="str">
        <f t="shared" si="17"/>
        <v>x</v>
      </c>
      <c r="CV16" s="56" t="str">
        <f t="shared" si="17"/>
        <v>x</v>
      </c>
      <c r="CW16" s="56" t="str">
        <f t="shared" si="17"/>
        <v>x</v>
      </c>
      <c r="CX16" s="56" t="str">
        <f t="shared" si="17"/>
        <v>x</v>
      </c>
      <c r="CY16" s="56" t="str">
        <f t="shared" si="17"/>
        <v>x</v>
      </c>
      <c r="CZ16" s="56" t="str">
        <f t="shared" si="17"/>
        <v>x</v>
      </c>
      <c r="DA16" s="56" t="str">
        <f t="shared" si="17"/>
        <v>x</v>
      </c>
      <c r="DB16" s="56" t="str">
        <f t="shared" si="17"/>
        <v>x</v>
      </c>
      <c r="DC16" s="56" t="str">
        <f t="shared" si="17"/>
        <v>x</v>
      </c>
      <c r="DD16" s="56" t="str">
        <f t="shared" si="17"/>
        <v>x</v>
      </c>
      <c r="DE16" s="56" t="str">
        <f t="shared" si="17"/>
        <v>x</v>
      </c>
      <c r="DF16" s="56" t="str">
        <f t="shared" si="16"/>
        <v>x</v>
      </c>
      <c r="DG16" s="56" t="str">
        <f t="shared" si="16"/>
        <v>x</v>
      </c>
      <c r="DH16" s="56" t="str">
        <f t="shared" si="16"/>
        <v>x</v>
      </c>
      <c r="DI16" s="56" t="str">
        <f t="shared" si="16"/>
        <v>x</v>
      </c>
      <c r="DJ16" s="56" t="str">
        <f t="shared" si="16"/>
        <v>x</v>
      </c>
      <c r="DK16" s="56" t="str">
        <f t="shared" si="16"/>
        <v>x</v>
      </c>
      <c r="DL16" s="56" t="str">
        <f t="shared" si="16"/>
        <v>x</v>
      </c>
      <c r="DM16" s="56" t="str">
        <f t="shared" si="6"/>
        <v>x</v>
      </c>
      <c r="DN16" s="56" t="str">
        <f t="shared" si="7"/>
        <v>x</v>
      </c>
      <c r="DO16" s="56" t="str">
        <f t="shared" si="7"/>
        <v>x</v>
      </c>
    </row>
    <row r="17" spans="1:119" s="13" customFormat="1" ht="29.4" thickBot="1">
      <c r="A17" s="52"/>
      <c r="B17" s="30" t="s">
        <v>123</v>
      </c>
      <c r="C17" s="29" t="s">
        <v>293</v>
      </c>
      <c r="D17" s="130" t="s">
        <v>225</v>
      </c>
      <c r="E17" s="23" t="s">
        <v>177</v>
      </c>
      <c r="F17" s="36" t="s">
        <v>3</v>
      </c>
      <c r="G17" s="37"/>
      <c r="H17" s="37"/>
      <c r="I17" s="37"/>
      <c r="J17" s="119"/>
      <c r="K17" s="56" t="str">
        <f t="shared" si="8"/>
        <v>x</v>
      </c>
      <c r="L17" s="56" t="str">
        <f t="shared" si="8"/>
        <v>x</v>
      </c>
      <c r="M17" s="56" t="str">
        <f t="shared" si="8"/>
        <v>x</v>
      </c>
      <c r="N17" s="56" t="str">
        <f t="shared" si="8"/>
        <v>x</v>
      </c>
      <c r="O17" s="56" t="str">
        <f t="shared" si="8"/>
        <v>x</v>
      </c>
      <c r="P17" s="56" t="str">
        <f t="shared" si="8"/>
        <v>x</v>
      </c>
      <c r="Q17" s="56" t="str">
        <f t="shared" si="8"/>
        <v>x</v>
      </c>
      <c r="R17" s="56" t="str">
        <f t="shared" si="8"/>
        <v>x</v>
      </c>
      <c r="S17" s="56" t="str">
        <f t="shared" si="8"/>
        <v>x</v>
      </c>
      <c r="T17" s="56" t="str">
        <f t="shared" si="8"/>
        <v>x</v>
      </c>
      <c r="U17" s="56" t="str">
        <f t="shared" si="9"/>
        <v>--</v>
      </c>
      <c r="V17" s="56" t="str">
        <f t="shared" si="9"/>
        <v>x</v>
      </c>
      <c r="W17" s="56" t="str">
        <f t="shared" si="9"/>
        <v>x</v>
      </c>
      <c r="X17" s="56" t="str">
        <f t="shared" si="9"/>
        <v>x</v>
      </c>
      <c r="Y17" s="56" t="str">
        <f t="shared" si="9"/>
        <v>x</v>
      </c>
      <c r="Z17" s="56" t="str">
        <f t="shared" si="9"/>
        <v>x</v>
      </c>
      <c r="AA17" s="56" t="str">
        <f t="shared" si="9"/>
        <v>x</v>
      </c>
      <c r="AB17" s="56" t="str">
        <f t="shared" si="9"/>
        <v>x</v>
      </c>
      <c r="AC17" s="56" t="str">
        <f t="shared" si="9"/>
        <v>x</v>
      </c>
      <c r="AD17" s="56" t="str">
        <f t="shared" si="9"/>
        <v>x</v>
      </c>
      <c r="AE17" s="56" t="str">
        <f t="shared" si="9"/>
        <v>x</v>
      </c>
      <c r="AF17" s="56" t="str">
        <f t="shared" si="9"/>
        <v>x</v>
      </c>
      <c r="AG17" s="56" t="str">
        <f t="shared" si="9"/>
        <v>x</v>
      </c>
      <c r="AH17" s="56" t="str">
        <f t="shared" si="9"/>
        <v>x</v>
      </c>
      <c r="AI17" s="56" t="str">
        <f t="shared" si="9"/>
        <v>x</v>
      </c>
      <c r="AJ17" s="56" t="str">
        <f t="shared" si="9"/>
        <v>x</v>
      </c>
      <c r="AK17" s="56" t="str">
        <f t="shared" ref="AE17:AS35" si="19">IFERROR(IF(SEARCH(AK$5,$D17),$F17,"-"),"x")</f>
        <v>x</v>
      </c>
      <c r="AL17" s="56" t="str">
        <f t="shared" si="19"/>
        <v>x</v>
      </c>
      <c r="AM17" s="56" t="str">
        <f t="shared" si="19"/>
        <v>x</v>
      </c>
      <c r="AN17" s="56" t="str">
        <f t="shared" si="19"/>
        <v>x</v>
      </c>
      <c r="AO17" s="56" t="str">
        <f t="shared" si="19"/>
        <v>x</v>
      </c>
      <c r="AP17" s="56" t="str">
        <f t="shared" si="19"/>
        <v>x</v>
      </c>
      <c r="AQ17" s="56" t="str">
        <f t="shared" si="19"/>
        <v>x</v>
      </c>
      <c r="AR17" s="56" t="str">
        <f t="shared" si="19"/>
        <v>x</v>
      </c>
      <c r="AS17" s="56" t="str">
        <f t="shared" si="19"/>
        <v>x</v>
      </c>
      <c r="AT17" s="56" t="str">
        <f t="shared" si="18"/>
        <v>x</v>
      </c>
      <c r="AU17" s="56" t="str">
        <f t="shared" si="18"/>
        <v>x</v>
      </c>
      <c r="AV17" s="56" t="str">
        <f t="shared" si="18"/>
        <v>x</v>
      </c>
      <c r="AW17" s="56" t="str">
        <f t="shared" si="18"/>
        <v>x</v>
      </c>
      <c r="AX17" s="56" t="str">
        <f t="shared" si="18"/>
        <v>x</v>
      </c>
      <c r="AY17" s="56" t="str">
        <f t="shared" si="18"/>
        <v>x</v>
      </c>
      <c r="AZ17" s="56" t="str">
        <f t="shared" si="18"/>
        <v>x</v>
      </c>
      <c r="BA17" s="56" t="str">
        <f t="shared" si="18"/>
        <v>x</v>
      </c>
      <c r="BB17" s="56" t="str">
        <f t="shared" si="18"/>
        <v>x</v>
      </c>
      <c r="BC17" s="56" t="str">
        <f t="shared" si="14"/>
        <v>x</v>
      </c>
      <c r="BD17" s="56" t="str">
        <f t="shared" si="14"/>
        <v>x</v>
      </c>
      <c r="BE17" s="56" t="str">
        <f t="shared" si="14"/>
        <v>x</v>
      </c>
      <c r="BF17" s="56" t="str">
        <f t="shared" si="14"/>
        <v>x</v>
      </c>
      <c r="BG17" s="56" t="str">
        <f t="shared" si="14"/>
        <v>x</v>
      </c>
      <c r="BH17" s="56" t="str">
        <f t="shared" si="14"/>
        <v>x</v>
      </c>
      <c r="BI17" s="56" t="str">
        <f t="shared" si="14"/>
        <v>x</v>
      </c>
      <c r="BJ17" s="56" t="str">
        <f t="shared" si="14"/>
        <v>x</v>
      </c>
      <c r="BK17" s="56" t="str">
        <f t="shared" si="15"/>
        <v>x</v>
      </c>
      <c r="BL17" s="56" t="str">
        <f t="shared" si="15"/>
        <v>x</v>
      </c>
      <c r="BM17" s="56" t="str">
        <f t="shared" si="15"/>
        <v>x</v>
      </c>
      <c r="BN17" s="56" t="str">
        <f t="shared" si="15"/>
        <v>x</v>
      </c>
      <c r="BO17" s="56" t="str">
        <f t="shared" si="15"/>
        <v>x</v>
      </c>
      <c r="BP17" s="56" t="str">
        <f t="shared" si="15"/>
        <v>x</v>
      </c>
      <c r="BQ17" s="56" t="str">
        <f t="shared" si="15"/>
        <v>x</v>
      </c>
      <c r="BR17" s="56" t="str">
        <f t="shared" si="15"/>
        <v>x</v>
      </c>
      <c r="BS17" s="56" t="str">
        <f t="shared" si="15"/>
        <v>x</v>
      </c>
      <c r="BT17" s="56" t="str">
        <f t="shared" si="15"/>
        <v>x</v>
      </c>
      <c r="BU17" s="56" t="str">
        <f t="shared" si="15"/>
        <v>x</v>
      </c>
      <c r="BV17" s="56" t="str">
        <f t="shared" si="15"/>
        <v>x</v>
      </c>
      <c r="BW17" s="56" t="str">
        <f t="shared" si="15"/>
        <v>x</v>
      </c>
      <c r="BX17" s="56" t="str">
        <f t="shared" si="15"/>
        <v>x</v>
      </c>
      <c r="BY17" s="56" t="str">
        <f t="shared" si="15"/>
        <v>x</v>
      </c>
      <c r="BZ17" s="56" t="str">
        <f t="shared" si="11"/>
        <v>x</v>
      </c>
      <c r="CA17" s="56" t="str">
        <f t="shared" si="11"/>
        <v>x</v>
      </c>
      <c r="CB17" s="56" t="str">
        <f t="shared" si="11"/>
        <v>x</v>
      </c>
      <c r="CC17" s="56" t="str">
        <f t="shared" si="11"/>
        <v>x</v>
      </c>
      <c r="CD17" s="56" t="str">
        <f t="shared" si="11"/>
        <v>x</v>
      </c>
      <c r="CE17" s="56" t="str">
        <f t="shared" si="11"/>
        <v>x</v>
      </c>
      <c r="CF17" s="56" t="str">
        <f t="shared" si="11"/>
        <v>x</v>
      </c>
      <c r="CG17" s="56" t="str">
        <f t="shared" si="11"/>
        <v>x</v>
      </c>
      <c r="CH17" s="56" t="str">
        <f t="shared" si="11"/>
        <v>x</v>
      </c>
      <c r="CI17" s="56" t="str">
        <f t="shared" si="11"/>
        <v>x</v>
      </c>
      <c r="CJ17" s="56" t="str">
        <f t="shared" si="11"/>
        <v>x</v>
      </c>
      <c r="CK17" s="56" t="str">
        <f t="shared" si="11"/>
        <v>x</v>
      </c>
      <c r="CL17" s="56" t="str">
        <f t="shared" si="11"/>
        <v>x</v>
      </c>
      <c r="CM17" s="56" t="str">
        <f t="shared" si="11"/>
        <v>x</v>
      </c>
      <c r="CN17" s="56" t="str">
        <f t="shared" si="11"/>
        <v>x</v>
      </c>
      <c r="CO17" s="56" t="str">
        <f t="shared" si="11"/>
        <v>--</v>
      </c>
      <c r="CP17" s="56" t="str">
        <f t="shared" si="17"/>
        <v>x</v>
      </c>
      <c r="CQ17" s="56" t="str">
        <f t="shared" si="17"/>
        <v>x</v>
      </c>
      <c r="CR17" s="56" t="str">
        <f t="shared" si="17"/>
        <v>x</v>
      </c>
      <c r="CS17" s="56" t="str">
        <f t="shared" si="17"/>
        <v>x</v>
      </c>
      <c r="CT17" s="56" t="str">
        <f t="shared" si="17"/>
        <v>x</v>
      </c>
      <c r="CU17" s="56" t="str">
        <f t="shared" si="17"/>
        <v>x</v>
      </c>
      <c r="CV17" s="56" t="str">
        <f t="shared" si="17"/>
        <v>x</v>
      </c>
      <c r="CW17" s="56" t="str">
        <f t="shared" si="17"/>
        <v>x</v>
      </c>
      <c r="CX17" s="56" t="str">
        <f t="shared" si="17"/>
        <v>x</v>
      </c>
      <c r="CY17" s="56" t="str">
        <f t="shared" si="17"/>
        <v>x</v>
      </c>
      <c r="CZ17" s="56" t="str">
        <f t="shared" si="17"/>
        <v>x</v>
      </c>
      <c r="DA17" s="56" t="str">
        <f t="shared" si="17"/>
        <v>x</v>
      </c>
      <c r="DB17" s="56" t="str">
        <f t="shared" si="17"/>
        <v>x</v>
      </c>
      <c r="DC17" s="56" t="str">
        <f t="shared" si="17"/>
        <v>x</v>
      </c>
      <c r="DD17" s="56" t="str">
        <f t="shared" si="17"/>
        <v>x</v>
      </c>
      <c r="DE17" s="56" t="str">
        <f t="shared" si="17"/>
        <v>x</v>
      </c>
      <c r="DF17" s="56" t="str">
        <f t="shared" si="16"/>
        <v>x</v>
      </c>
      <c r="DG17" s="56" t="str">
        <f t="shared" si="16"/>
        <v>x</v>
      </c>
      <c r="DH17" s="56" t="str">
        <f t="shared" si="16"/>
        <v>x</v>
      </c>
      <c r="DI17" s="56" t="str">
        <f t="shared" si="16"/>
        <v>x</v>
      </c>
      <c r="DJ17" s="56" t="str">
        <f t="shared" si="16"/>
        <v>x</v>
      </c>
      <c r="DK17" s="56" t="str">
        <f t="shared" si="16"/>
        <v>x</v>
      </c>
      <c r="DL17" s="56" t="str">
        <f t="shared" si="16"/>
        <v>x</v>
      </c>
      <c r="DM17" s="56" t="str">
        <f t="shared" si="6"/>
        <v>x</v>
      </c>
      <c r="DN17" s="56" t="str">
        <f t="shared" si="7"/>
        <v>x</v>
      </c>
      <c r="DO17" s="56" t="str">
        <f t="shared" si="7"/>
        <v>x</v>
      </c>
    </row>
    <row r="18" spans="1:119" s="18" customFormat="1" ht="17.25" customHeight="1">
      <c r="A18" s="52"/>
      <c r="B18" s="30" t="s">
        <v>12</v>
      </c>
      <c r="C18" s="29" t="s">
        <v>204</v>
      </c>
      <c r="D18" s="130" t="s">
        <v>226</v>
      </c>
      <c r="E18" s="23" t="s">
        <v>178</v>
      </c>
      <c r="F18" s="36" t="s">
        <v>3</v>
      </c>
      <c r="G18" s="37"/>
      <c r="H18" s="37"/>
      <c r="I18" s="37"/>
      <c r="J18" s="119"/>
      <c r="K18" s="56" t="str">
        <f t="shared" si="8"/>
        <v>x</v>
      </c>
      <c r="L18" s="56" t="str">
        <f t="shared" si="8"/>
        <v>x</v>
      </c>
      <c r="M18" s="56" t="str">
        <f t="shared" si="8"/>
        <v>x</v>
      </c>
      <c r="N18" s="56" t="str">
        <f t="shared" si="8"/>
        <v>x</v>
      </c>
      <c r="O18" s="56" t="str">
        <f t="shared" si="8"/>
        <v>x</v>
      </c>
      <c r="P18" s="56" t="str">
        <f t="shared" si="8"/>
        <v>x</v>
      </c>
      <c r="Q18" s="56" t="str">
        <f t="shared" si="8"/>
        <v>x</v>
      </c>
      <c r="R18" s="56" t="str">
        <f t="shared" si="8"/>
        <v>x</v>
      </c>
      <c r="S18" s="56" t="str">
        <f t="shared" si="8"/>
        <v>x</v>
      </c>
      <c r="T18" s="56" t="str">
        <f t="shared" si="8"/>
        <v>x</v>
      </c>
      <c r="U18" s="56" t="str">
        <f t="shared" si="9"/>
        <v>x</v>
      </c>
      <c r="V18" s="56" t="str">
        <f t="shared" si="9"/>
        <v>--</v>
      </c>
      <c r="W18" s="56" t="str">
        <f t="shared" si="9"/>
        <v>x</v>
      </c>
      <c r="X18" s="56" t="str">
        <f t="shared" si="9"/>
        <v>x</v>
      </c>
      <c r="Y18" s="56" t="str">
        <f t="shared" si="9"/>
        <v>x</v>
      </c>
      <c r="Z18" s="56" t="str">
        <f t="shared" si="9"/>
        <v>x</v>
      </c>
      <c r="AA18" s="56" t="str">
        <f t="shared" si="9"/>
        <v>x</v>
      </c>
      <c r="AB18" s="56" t="str">
        <f t="shared" si="9"/>
        <v>x</v>
      </c>
      <c r="AC18" s="56" t="str">
        <f t="shared" si="9"/>
        <v>x</v>
      </c>
      <c r="AD18" s="56" t="str">
        <f t="shared" si="9"/>
        <v>x</v>
      </c>
      <c r="AE18" s="56" t="str">
        <f t="shared" si="19"/>
        <v>x</v>
      </c>
      <c r="AF18" s="56" t="str">
        <f t="shared" si="19"/>
        <v>x</v>
      </c>
      <c r="AG18" s="56" t="str">
        <f t="shared" si="19"/>
        <v>x</v>
      </c>
      <c r="AH18" s="56" t="str">
        <f t="shared" si="19"/>
        <v>x</v>
      </c>
      <c r="AI18" s="56" t="str">
        <f t="shared" si="19"/>
        <v>x</v>
      </c>
      <c r="AJ18" s="56" t="str">
        <f t="shared" si="19"/>
        <v>x</v>
      </c>
      <c r="AK18" s="56" t="str">
        <f t="shared" si="19"/>
        <v>x</v>
      </c>
      <c r="AL18" s="56" t="str">
        <f t="shared" si="19"/>
        <v>x</v>
      </c>
      <c r="AM18" s="56" t="str">
        <f t="shared" si="19"/>
        <v>x</v>
      </c>
      <c r="AN18" s="56" t="str">
        <f t="shared" si="19"/>
        <v>x</v>
      </c>
      <c r="AO18" s="56" t="str">
        <f t="shared" si="19"/>
        <v>x</v>
      </c>
      <c r="AP18" s="56" t="str">
        <f t="shared" si="19"/>
        <v>x</v>
      </c>
      <c r="AQ18" s="56" t="str">
        <f t="shared" si="19"/>
        <v>x</v>
      </c>
      <c r="AR18" s="56" t="str">
        <f t="shared" si="19"/>
        <v>x</v>
      </c>
      <c r="AS18" s="56" t="str">
        <f t="shared" si="19"/>
        <v>x</v>
      </c>
      <c r="AT18" s="56" t="str">
        <f t="shared" si="18"/>
        <v>x</v>
      </c>
      <c r="AU18" s="56" t="str">
        <f t="shared" si="18"/>
        <v>x</v>
      </c>
      <c r="AV18" s="56" t="str">
        <f t="shared" si="18"/>
        <v>x</v>
      </c>
      <c r="AW18" s="56" t="str">
        <f t="shared" si="18"/>
        <v>x</v>
      </c>
      <c r="AX18" s="56" t="str">
        <f t="shared" si="18"/>
        <v>x</v>
      </c>
      <c r="AY18" s="56" t="str">
        <f t="shared" si="18"/>
        <v>x</v>
      </c>
      <c r="AZ18" s="56" t="str">
        <f t="shared" si="18"/>
        <v>x</v>
      </c>
      <c r="BA18" s="56" t="str">
        <f t="shared" si="18"/>
        <v>x</v>
      </c>
      <c r="BB18" s="56" t="str">
        <f t="shared" si="18"/>
        <v>x</v>
      </c>
      <c r="BC18" s="56" t="str">
        <f t="shared" si="14"/>
        <v>x</v>
      </c>
      <c r="BD18" s="56" t="str">
        <f t="shared" si="14"/>
        <v>x</v>
      </c>
      <c r="BE18" s="56" t="str">
        <f t="shared" si="14"/>
        <v>x</v>
      </c>
      <c r="BF18" s="56" t="str">
        <f t="shared" si="14"/>
        <v>x</v>
      </c>
      <c r="BG18" s="56" t="str">
        <f t="shared" si="14"/>
        <v>x</v>
      </c>
      <c r="BH18" s="56" t="str">
        <f t="shared" si="14"/>
        <v>x</v>
      </c>
      <c r="BI18" s="56" t="str">
        <f t="shared" si="14"/>
        <v>x</v>
      </c>
      <c r="BJ18" s="56" t="str">
        <f t="shared" si="14"/>
        <v>x</v>
      </c>
      <c r="BK18" s="56" t="str">
        <f t="shared" si="15"/>
        <v>x</v>
      </c>
      <c r="BL18" s="56" t="str">
        <f t="shared" si="15"/>
        <v>x</v>
      </c>
      <c r="BM18" s="56" t="str">
        <f t="shared" si="15"/>
        <v>x</v>
      </c>
      <c r="BN18" s="56" t="str">
        <f t="shared" si="15"/>
        <v>x</v>
      </c>
      <c r="BO18" s="56" t="str">
        <f t="shared" si="15"/>
        <v>x</v>
      </c>
      <c r="BP18" s="56" t="str">
        <f t="shared" si="15"/>
        <v>x</v>
      </c>
      <c r="BQ18" s="56" t="str">
        <f t="shared" si="15"/>
        <v>x</v>
      </c>
      <c r="BR18" s="56" t="str">
        <f t="shared" si="15"/>
        <v>x</v>
      </c>
      <c r="BS18" s="56" t="str">
        <f t="shared" si="15"/>
        <v>x</v>
      </c>
      <c r="BT18" s="56" t="str">
        <f t="shared" si="15"/>
        <v>x</v>
      </c>
      <c r="BU18" s="56" t="str">
        <f t="shared" si="15"/>
        <v>x</v>
      </c>
      <c r="BV18" s="56" t="str">
        <f t="shared" si="15"/>
        <v>x</v>
      </c>
      <c r="BW18" s="56" t="str">
        <f t="shared" si="15"/>
        <v>x</v>
      </c>
      <c r="BX18" s="56" t="str">
        <f t="shared" si="15"/>
        <v>x</v>
      </c>
      <c r="BY18" s="56" t="str">
        <f t="shared" si="15"/>
        <v>x</v>
      </c>
      <c r="BZ18" s="56" t="str">
        <f t="shared" si="11"/>
        <v>x</v>
      </c>
      <c r="CA18" s="56" t="str">
        <f t="shared" si="11"/>
        <v>x</v>
      </c>
      <c r="CB18" s="56" t="str">
        <f t="shared" si="11"/>
        <v>x</v>
      </c>
      <c r="CC18" s="56" t="str">
        <f t="shared" si="11"/>
        <v>x</v>
      </c>
      <c r="CD18" s="56" t="str">
        <f t="shared" si="11"/>
        <v>x</v>
      </c>
      <c r="CE18" s="56" t="str">
        <f t="shared" si="11"/>
        <v>x</v>
      </c>
      <c r="CF18" s="56" t="str">
        <f t="shared" si="11"/>
        <v>x</v>
      </c>
      <c r="CG18" s="56" t="str">
        <f t="shared" si="11"/>
        <v>x</v>
      </c>
      <c r="CH18" s="56" t="str">
        <f t="shared" si="11"/>
        <v>x</v>
      </c>
      <c r="CI18" s="56" t="str">
        <f t="shared" si="11"/>
        <v>x</v>
      </c>
      <c r="CJ18" s="56" t="str">
        <f t="shared" si="11"/>
        <v>x</v>
      </c>
      <c r="CK18" s="56" t="str">
        <f t="shared" si="11"/>
        <v>x</v>
      </c>
      <c r="CL18" s="56" t="str">
        <f t="shared" si="11"/>
        <v>x</v>
      </c>
      <c r="CM18" s="56" t="str">
        <f t="shared" si="11"/>
        <v>x</v>
      </c>
      <c r="CN18" s="56" t="str">
        <f t="shared" si="11"/>
        <v>x</v>
      </c>
      <c r="CO18" s="56" t="str">
        <f t="shared" si="11"/>
        <v>x</v>
      </c>
      <c r="CP18" s="56" t="str">
        <f t="shared" si="17"/>
        <v>--</v>
      </c>
      <c r="CQ18" s="56" t="str">
        <f t="shared" si="17"/>
        <v>x</v>
      </c>
      <c r="CR18" s="56" t="str">
        <f t="shared" si="17"/>
        <v>x</v>
      </c>
      <c r="CS18" s="56" t="str">
        <f t="shared" si="17"/>
        <v>x</v>
      </c>
      <c r="CT18" s="56" t="str">
        <f t="shared" si="17"/>
        <v>x</v>
      </c>
      <c r="CU18" s="56" t="str">
        <f t="shared" si="17"/>
        <v>x</v>
      </c>
      <c r="CV18" s="56" t="str">
        <f t="shared" si="17"/>
        <v>x</v>
      </c>
      <c r="CW18" s="56" t="str">
        <f t="shared" si="17"/>
        <v>x</v>
      </c>
      <c r="CX18" s="56" t="str">
        <f t="shared" si="17"/>
        <v>x</v>
      </c>
      <c r="CY18" s="56" t="str">
        <f t="shared" si="17"/>
        <v>x</v>
      </c>
      <c r="CZ18" s="56" t="str">
        <f t="shared" si="17"/>
        <v>x</v>
      </c>
      <c r="DA18" s="56" t="str">
        <f t="shared" si="17"/>
        <v>x</v>
      </c>
      <c r="DB18" s="56" t="str">
        <f t="shared" si="17"/>
        <v>x</v>
      </c>
      <c r="DC18" s="56" t="str">
        <f t="shared" si="17"/>
        <v>x</v>
      </c>
      <c r="DD18" s="56" t="str">
        <f t="shared" si="17"/>
        <v>x</v>
      </c>
      <c r="DE18" s="56" t="str">
        <f t="shared" si="17"/>
        <v>x</v>
      </c>
      <c r="DF18" s="56" t="str">
        <f t="shared" si="16"/>
        <v>x</v>
      </c>
      <c r="DG18" s="56" t="str">
        <f t="shared" si="16"/>
        <v>x</v>
      </c>
      <c r="DH18" s="56" t="str">
        <f t="shared" si="16"/>
        <v>x</v>
      </c>
      <c r="DI18" s="56" t="str">
        <f t="shared" si="16"/>
        <v>x</v>
      </c>
      <c r="DJ18" s="56" t="str">
        <f t="shared" si="16"/>
        <v>x</v>
      </c>
      <c r="DK18" s="56" t="str">
        <f t="shared" si="16"/>
        <v>x</v>
      </c>
      <c r="DL18" s="56" t="str">
        <f t="shared" si="16"/>
        <v>x</v>
      </c>
      <c r="DM18" s="56" t="str">
        <f t="shared" si="6"/>
        <v>x</v>
      </c>
      <c r="DN18" s="56" t="str">
        <f t="shared" si="7"/>
        <v>x</v>
      </c>
      <c r="DO18" s="56" t="str">
        <f t="shared" si="7"/>
        <v>x</v>
      </c>
    </row>
    <row r="19" spans="1:119" ht="33.75" customHeight="1">
      <c r="A19" s="52"/>
      <c r="B19" s="30" t="s">
        <v>124</v>
      </c>
      <c r="C19" s="29" t="s">
        <v>294</v>
      </c>
      <c r="D19" s="130" t="s">
        <v>227</v>
      </c>
      <c r="E19" s="23" t="s">
        <v>188</v>
      </c>
      <c r="F19" s="36" t="s">
        <v>3</v>
      </c>
      <c r="G19" s="37"/>
      <c r="H19" s="37"/>
      <c r="I19" s="37"/>
      <c r="J19" s="119"/>
      <c r="K19" s="56" t="str">
        <f t="shared" si="8"/>
        <v>x</v>
      </c>
      <c r="L19" s="56" t="str">
        <f t="shared" si="8"/>
        <v>x</v>
      </c>
      <c r="M19" s="56" t="str">
        <f t="shared" si="8"/>
        <v>x</v>
      </c>
      <c r="N19" s="56" t="str">
        <f t="shared" si="8"/>
        <v>x</v>
      </c>
      <c r="O19" s="56" t="str">
        <f t="shared" si="8"/>
        <v>x</v>
      </c>
      <c r="P19" s="56" t="str">
        <f t="shared" si="8"/>
        <v>x</v>
      </c>
      <c r="Q19" s="56" t="str">
        <f t="shared" si="8"/>
        <v>x</v>
      </c>
      <c r="R19" s="56" t="str">
        <f t="shared" si="8"/>
        <v>x</v>
      </c>
      <c r="S19" s="56" t="str">
        <f t="shared" si="8"/>
        <v>x</v>
      </c>
      <c r="T19" s="56" t="str">
        <f t="shared" si="8"/>
        <v>x</v>
      </c>
      <c r="U19" s="56" t="str">
        <f t="shared" si="9"/>
        <v>x</v>
      </c>
      <c r="V19" s="56" t="str">
        <f t="shared" si="9"/>
        <v>x</v>
      </c>
      <c r="W19" s="56" t="str">
        <f t="shared" si="9"/>
        <v>--</v>
      </c>
      <c r="X19" s="56" t="str">
        <f t="shared" si="9"/>
        <v>x</v>
      </c>
      <c r="Y19" s="56" t="str">
        <f t="shared" si="9"/>
        <v>x</v>
      </c>
      <c r="Z19" s="56" t="str">
        <f t="shared" si="9"/>
        <v>x</v>
      </c>
      <c r="AA19" s="56" t="str">
        <f t="shared" si="9"/>
        <v>x</v>
      </c>
      <c r="AB19" s="56" t="str">
        <f t="shared" si="9"/>
        <v>x</v>
      </c>
      <c r="AC19" s="56" t="str">
        <f t="shared" si="9"/>
        <v>x</v>
      </c>
      <c r="AD19" s="56" t="str">
        <f t="shared" si="9"/>
        <v>x</v>
      </c>
      <c r="AE19" s="56" t="str">
        <f t="shared" si="19"/>
        <v>x</v>
      </c>
      <c r="AF19" s="56" t="str">
        <f t="shared" si="19"/>
        <v>x</v>
      </c>
      <c r="AG19" s="56" t="str">
        <f t="shared" si="19"/>
        <v>x</v>
      </c>
      <c r="AH19" s="56" t="str">
        <f t="shared" si="19"/>
        <v>x</v>
      </c>
      <c r="AI19" s="56" t="str">
        <f t="shared" si="19"/>
        <v>x</v>
      </c>
      <c r="AJ19" s="56" t="str">
        <f t="shared" si="19"/>
        <v>x</v>
      </c>
      <c r="AK19" s="56" t="str">
        <f t="shared" si="19"/>
        <v>x</v>
      </c>
      <c r="AL19" s="56" t="str">
        <f t="shared" si="19"/>
        <v>x</v>
      </c>
      <c r="AM19" s="56" t="str">
        <f t="shared" si="19"/>
        <v>x</v>
      </c>
      <c r="AN19" s="56" t="str">
        <f t="shared" si="19"/>
        <v>x</v>
      </c>
      <c r="AO19" s="56" t="str">
        <f t="shared" si="19"/>
        <v>x</v>
      </c>
      <c r="AP19" s="56" t="str">
        <f t="shared" si="19"/>
        <v>x</v>
      </c>
      <c r="AQ19" s="56" t="str">
        <f t="shared" si="19"/>
        <v>x</v>
      </c>
      <c r="AR19" s="56" t="str">
        <f t="shared" si="19"/>
        <v>x</v>
      </c>
      <c r="AS19" s="56" t="str">
        <f t="shared" si="19"/>
        <v>x</v>
      </c>
      <c r="AT19" s="56" t="str">
        <f t="shared" si="18"/>
        <v>x</v>
      </c>
      <c r="AU19" s="56" t="str">
        <f t="shared" si="18"/>
        <v>x</v>
      </c>
      <c r="AV19" s="56" t="str">
        <f t="shared" si="18"/>
        <v>x</v>
      </c>
      <c r="AW19" s="56" t="str">
        <f t="shared" si="18"/>
        <v>x</v>
      </c>
      <c r="AX19" s="56" t="str">
        <f t="shared" si="18"/>
        <v>x</v>
      </c>
      <c r="AY19" s="56" t="str">
        <f t="shared" si="18"/>
        <v>x</v>
      </c>
      <c r="AZ19" s="56" t="str">
        <f t="shared" si="18"/>
        <v>x</v>
      </c>
      <c r="BA19" s="56" t="str">
        <f t="shared" si="18"/>
        <v>x</v>
      </c>
      <c r="BB19" s="56" t="str">
        <f t="shared" si="18"/>
        <v>x</v>
      </c>
      <c r="BC19" s="56" t="str">
        <f t="shared" si="14"/>
        <v>x</v>
      </c>
      <c r="BD19" s="56" t="str">
        <f t="shared" si="14"/>
        <v>x</v>
      </c>
      <c r="BE19" s="56" t="str">
        <f t="shared" si="14"/>
        <v>x</v>
      </c>
      <c r="BF19" s="56" t="str">
        <f t="shared" si="14"/>
        <v>x</v>
      </c>
      <c r="BG19" s="56" t="str">
        <f t="shared" si="14"/>
        <v>x</v>
      </c>
      <c r="BH19" s="56" t="str">
        <f t="shared" si="14"/>
        <v>x</v>
      </c>
      <c r="BI19" s="56" t="str">
        <f t="shared" si="14"/>
        <v>x</v>
      </c>
      <c r="BJ19" s="56" t="str">
        <f t="shared" si="14"/>
        <v>x</v>
      </c>
      <c r="BK19" s="56" t="str">
        <f t="shared" si="15"/>
        <v>x</v>
      </c>
      <c r="BL19" s="56" t="str">
        <f t="shared" si="15"/>
        <v>x</v>
      </c>
      <c r="BM19" s="56" t="str">
        <f t="shared" si="15"/>
        <v>x</v>
      </c>
      <c r="BN19" s="56" t="str">
        <f t="shared" si="15"/>
        <v>x</v>
      </c>
      <c r="BO19" s="56" t="str">
        <f t="shared" si="15"/>
        <v>x</v>
      </c>
      <c r="BP19" s="56" t="str">
        <f t="shared" si="15"/>
        <v>x</v>
      </c>
      <c r="BQ19" s="56" t="str">
        <f t="shared" si="15"/>
        <v>x</v>
      </c>
      <c r="BR19" s="56" t="str">
        <f t="shared" si="15"/>
        <v>x</v>
      </c>
      <c r="BS19" s="56" t="str">
        <f t="shared" si="15"/>
        <v>x</v>
      </c>
      <c r="BT19" s="56" t="str">
        <f t="shared" si="15"/>
        <v>x</v>
      </c>
      <c r="BU19" s="56" t="str">
        <f t="shared" si="15"/>
        <v>x</v>
      </c>
      <c r="BV19" s="56" t="str">
        <f t="shared" si="15"/>
        <v>x</v>
      </c>
      <c r="BW19" s="56" t="str">
        <f t="shared" si="15"/>
        <v>x</v>
      </c>
      <c r="BX19" s="56" t="str">
        <f t="shared" si="15"/>
        <v>x</v>
      </c>
      <c r="BY19" s="56" t="str">
        <f t="shared" si="15"/>
        <v>x</v>
      </c>
      <c r="BZ19" s="56" t="str">
        <f t="shared" si="11"/>
        <v>x</v>
      </c>
      <c r="CA19" s="56" t="str">
        <f t="shared" si="11"/>
        <v>x</v>
      </c>
      <c r="CB19" s="56" t="str">
        <f t="shared" si="11"/>
        <v>x</v>
      </c>
      <c r="CC19" s="56" t="str">
        <f t="shared" si="11"/>
        <v>x</v>
      </c>
      <c r="CD19" s="56" t="str">
        <f t="shared" si="11"/>
        <v>x</v>
      </c>
      <c r="CE19" s="56" t="str">
        <f t="shared" si="11"/>
        <v>x</v>
      </c>
      <c r="CF19" s="56" t="str">
        <f t="shared" si="11"/>
        <v>x</v>
      </c>
      <c r="CG19" s="56" t="str">
        <f t="shared" si="11"/>
        <v>x</v>
      </c>
      <c r="CH19" s="56" t="str">
        <f t="shared" si="11"/>
        <v>x</v>
      </c>
      <c r="CI19" s="56" t="str">
        <f t="shared" si="11"/>
        <v>x</v>
      </c>
      <c r="CJ19" s="56" t="str">
        <f t="shared" si="11"/>
        <v>x</v>
      </c>
      <c r="CK19" s="56" t="str">
        <f t="shared" si="11"/>
        <v>x</v>
      </c>
      <c r="CL19" s="56" t="str">
        <f t="shared" si="11"/>
        <v>x</v>
      </c>
      <c r="CM19" s="56" t="str">
        <f t="shared" si="11"/>
        <v>x</v>
      </c>
      <c r="CN19" s="56" t="str">
        <f t="shared" si="11"/>
        <v>x</v>
      </c>
      <c r="CO19" s="56" t="str">
        <f t="shared" si="11"/>
        <v>x</v>
      </c>
      <c r="CP19" s="56" t="str">
        <f t="shared" si="17"/>
        <v>x</v>
      </c>
      <c r="CQ19" s="56" t="str">
        <f t="shared" si="17"/>
        <v>x</v>
      </c>
      <c r="CR19" s="56" t="str">
        <f t="shared" si="17"/>
        <v>x</v>
      </c>
      <c r="CS19" s="56" t="str">
        <f t="shared" si="17"/>
        <v>x</v>
      </c>
      <c r="CT19" s="56" t="str">
        <f t="shared" si="17"/>
        <v>x</v>
      </c>
      <c r="CU19" s="56" t="str">
        <f t="shared" si="17"/>
        <v>x</v>
      </c>
      <c r="CV19" s="56" t="str">
        <f t="shared" si="17"/>
        <v>x</v>
      </c>
      <c r="CW19" s="56" t="str">
        <f t="shared" si="17"/>
        <v>x</v>
      </c>
      <c r="CX19" s="56" t="str">
        <f t="shared" si="17"/>
        <v>x</v>
      </c>
      <c r="CY19" s="56" t="str">
        <f t="shared" si="17"/>
        <v>x</v>
      </c>
      <c r="CZ19" s="56" t="str">
        <f t="shared" si="17"/>
        <v>--</v>
      </c>
      <c r="DA19" s="56" t="str">
        <f t="shared" si="17"/>
        <v>x</v>
      </c>
      <c r="DB19" s="56" t="str">
        <f t="shared" si="17"/>
        <v>x</v>
      </c>
      <c r="DC19" s="56" t="str">
        <f t="shared" si="17"/>
        <v>x</v>
      </c>
      <c r="DD19" s="56" t="str">
        <f t="shared" si="17"/>
        <v>x</v>
      </c>
      <c r="DE19" s="56" t="str">
        <f t="shared" si="17"/>
        <v>x</v>
      </c>
      <c r="DF19" s="56" t="str">
        <f t="shared" si="16"/>
        <v>x</v>
      </c>
      <c r="DG19" s="56" t="str">
        <f t="shared" si="16"/>
        <v>x</v>
      </c>
      <c r="DH19" s="56" t="str">
        <f t="shared" si="16"/>
        <v>x</v>
      </c>
      <c r="DI19" s="56" t="str">
        <f t="shared" si="16"/>
        <v>x</v>
      </c>
      <c r="DJ19" s="56" t="str">
        <f t="shared" si="16"/>
        <v>x</v>
      </c>
      <c r="DK19" s="56" t="str">
        <f t="shared" si="16"/>
        <v>x</v>
      </c>
      <c r="DL19" s="56" t="str">
        <f t="shared" si="16"/>
        <v>x</v>
      </c>
      <c r="DM19" s="56" t="str">
        <f t="shared" si="6"/>
        <v>x</v>
      </c>
      <c r="DN19" s="56" t="str">
        <f t="shared" si="7"/>
        <v>x</v>
      </c>
      <c r="DO19" s="56" t="str">
        <f t="shared" si="7"/>
        <v>x</v>
      </c>
    </row>
    <row r="20" spans="1:119" ht="28.8">
      <c r="A20" s="52"/>
      <c r="B20" s="30" t="s">
        <v>125</v>
      </c>
      <c r="C20" s="29" t="s">
        <v>295</v>
      </c>
      <c r="D20" s="130" t="s">
        <v>228</v>
      </c>
      <c r="E20" s="23" t="s">
        <v>191</v>
      </c>
      <c r="F20" s="36" t="s">
        <v>3</v>
      </c>
      <c r="G20" s="37"/>
      <c r="H20" s="37"/>
      <c r="I20" s="37"/>
      <c r="J20" s="119"/>
      <c r="K20" s="56" t="str">
        <f t="shared" si="8"/>
        <v>x</v>
      </c>
      <c r="L20" s="56" t="str">
        <f t="shared" si="8"/>
        <v>x</v>
      </c>
      <c r="M20" s="56" t="str">
        <f t="shared" si="8"/>
        <v>x</v>
      </c>
      <c r="N20" s="56" t="str">
        <f t="shared" si="8"/>
        <v>x</v>
      </c>
      <c r="O20" s="56" t="str">
        <f t="shared" si="8"/>
        <v>x</v>
      </c>
      <c r="P20" s="56" t="str">
        <f t="shared" si="8"/>
        <v>x</v>
      </c>
      <c r="Q20" s="56" t="str">
        <f t="shared" si="8"/>
        <v>x</v>
      </c>
      <c r="R20" s="56" t="str">
        <f t="shared" si="8"/>
        <v>x</v>
      </c>
      <c r="S20" s="56" t="str">
        <f t="shared" si="8"/>
        <v>x</v>
      </c>
      <c r="T20" s="56" t="str">
        <f t="shared" si="8"/>
        <v>x</v>
      </c>
      <c r="U20" s="56" t="str">
        <f t="shared" si="9"/>
        <v>x</v>
      </c>
      <c r="V20" s="56" t="str">
        <f t="shared" si="9"/>
        <v>x</v>
      </c>
      <c r="W20" s="56" t="str">
        <f t="shared" si="9"/>
        <v>x</v>
      </c>
      <c r="X20" s="56" t="str">
        <f t="shared" si="9"/>
        <v>--</v>
      </c>
      <c r="Y20" s="56" t="str">
        <f t="shared" si="9"/>
        <v>x</v>
      </c>
      <c r="Z20" s="56" t="str">
        <f t="shared" si="9"/>
        <v>x</v>
      </c>
      <c r="AA20" s="56" t="str">
        <f t="shared" si="9"/>
        <v>x</v>
      </c>
      <c r="AB20" s="56" t="str">
        <f t="shared" si="9"/>
        <v>x</v>
      </c>
      <c r="AC20" s="56" t="str">
        <f t="shared" si="9"/>
        <v>x</v>
      </c>
      <c r="AD20" s="56" t="str">
        <f t="shared" si="9"/>
        <v>x</v>
      </c>
      <c r="AE20" s="56" t="str">
        <f t="shared" si="19"/>
        <v>x</v>
      </c>
      <c r="AF20" s="56" t="str">
        <f t="shared" si="19"/>
        <v>x</v>
      </c>
      <c r="AG20" s="56" t="str">
        <f t="shared" si="19"/>
        <v>x</v>
      </c>
      <c r="AH20" s="56" t="str">
        <f t="shared" si="19"/>
        <v>x</v>
      </c>
      <c r="AI20" s="56" t="str">
        <f t="shared" si="19"/>
        <v>x</v>
      </c>
      <c r="AJ20" s="56" t="str">
        <f t="shared" si="19"/>
        <v>x</v>
      </c>
      <c r="AK20" s="56" t="str">
        <f t="shared" si="19"/>
        <v>x</v>
      </c>
      <c r="AL20" s="56" t="str">
        <f t="shared" si="19"/>
        <v>x</v>
      </c>
      <c r="AM20" s="56" t="str">
        <f t="shared" si="19"/>
        <v>x</v>
      </c>
      <c r="AN20" s="56" t="str">
        <f t="shared" si="19"/>
        <v>x</v>
      </c>
      <c r="AO20" s="56" t="str">
        <f t="shared" si="19"/>
        <v>x</v>
      </c>
      <c r="AP20" s="56" t="str">
        <f t="shared" si="19"/>
        <v>x</v>
      </c>
      <c r="AQ20" s="56" t="str">
        <f t="shared" si="19"/>
        <v>x</v>
      </c>
      <c r="AR20" s="56" t="str">
        <f t="shared" si="19"/>
        <v>x</v>
      </c>
      <c r="AS20" s="56" t="str">
        <f t="shared" si="19"/>
        <v>x</v>
      </c>
      <c r="AT20" s="56" t="str">
        <f t="shared" si="18"/>
        <v>x</v>
      </c>
      <c r="AU20" s="56" t="str">
        <f t="shared" si="18"/>
        <v>x</v>
      </c>
      <c r="AV20" s="56" t="str">
        <f t="shared" si="18"/>
        <v>x</v>
      </c>
      <c r="AW20" s="56" t="str">
        <f t="shared" si="18"/>
        <v>x</v>
      </c>
      <c r="AX20" s="56" t="str">
        <f t="shared" si="18"/>
        <v>x</v>
      </c>
      <c r="AY20" s="56" t="str">
        <f t="shared" si="18"/>
        <v>x</v>
      </c>
      <c r="AZ20" s="56" t="str">
        <f t="shared" si="18"/>
        <v>x</v>
      </c>
      <c r="BA20" s="56" t="str">
        <f t="shared" si="18"/>
        <v>x</v>
      </c>
      <c r="BB20" s="56" t="str">
        <f t="shared" si="18"/>
        <v>x</v>
      </c>
      <c r="BC20" s="56" t="str">
        <f t="shared" si="14"/>
        <v>x</v>
      </c>
      <c r="BD20" s="56" t="str">
        <f t="shared" si="14"/>
        <v>x</v>
      </c>
      <c r="BE20" s="56" t="str">
        <f t="shared" si="14"/>
        <v>x</v>
      </c>
      <c r="BF20" s="56" t="str">
        <f t="shared" si="14"/>
        <v>x</v>
      </c>
      <c r="BG20" s="56" t="str">
        <f t="shared" si="14"/>
        <v>x</v>
      </c>
      <c r="BH20" s="56" t="str">
        <f t="shared" si="14"/>
        <v>x</v>
      </c>
      <c r="BI20" s="56" t="str">
        <f t="shared" si="14"/>
        <v>x</v>
      </c>
      <c r="BJ20" s="56" t="str">
        <f t="shared" si="14"/>
        <v>x</v>
      </c>
      <c r="BK20" s="56" t="str">
        <f t="shared" si="15"/>
        <v>x</v>
      </c>
      <c r="BL20" s="56" t="str">
        <f t="shared" si="15"/>
        <v>x</v>
      </c>
      <c r="BM20" s="56" t="str">
        <f t="shared" si="15"/>
        <v>x</v>
      </c>
      <c r="BN20" s="56" t="str">
        <f t="shared" si="15"/>
        <v>x</v>
      </c>
      <c r="BO20" s="56" t="str">
        <f t="shared" si="15"/>
        <v>x</v>
      </c>
      <c r="BP20" s="56" t="str">
        <f t="shared" si="15"/>
        <v>x</v>
      </c>
      <c r="BQ20" s="56" t="str">
        <f t="shared" si="15"/>
        <v>x</v>
      </c>
      <c r="BR20" s="56" t="str">
        <f t="shared" si="15"/>
        <v>x</v>
      </c>
      <c r="BS20" s="56" t="str">
        <f t="shared" si="15"/>
        <v>x</v>
      </c>
      <c r="BT20" s="56" t="str">
        <f t="shared" si="15"/>
        <v>x</v>
      </c>
      <c r="BU20" s="56" t="str">
        <f t="shared" si="15"/>
        <v>x</v>
      </c>
      <c r="BV20" s="56" t="str">
        <f t="shared" si="15"/>
        <v>x</v>
      </c>
      <c r="BW20" s="56" t="str">
        <f t="shared" si="15"/>
        <v>x</v>
      </c>
      <c r="BX20" s="56" t="str">
        <f t="shared" si="15"/>
        <v>x</v>
      </c>
      <c r="BY20" s="56" t="str">
        <f t="shared" si="15"/>
        <v>x</v>
      </c>
      <c r="BZ20" s="56" t="str">
        <f t="shared" si="11"/>
        <v>x</v>
      </c>
      <c r="CA20" s="56" t="str">
        <f t="shared" si="11"/>
        <v>x</v>
      </c>
      <c r="CB20" s="56" t="str">
        <f t="shared" si="11"/>
        <v>x</v>
      </c>
      <c r="CC20" s="56" t="str">
        <f t="shared" si="11"/>
        <v>x</v>
      </c>
      <c r="CD20" s="56" t="str">
        <f t="shared" si="11"/>
        <v>x</v>
      </c>
      <c r="CE20" s="56" t="str">
        <f t="shared" si="11"/>
        <v>x</v>
      </c>
      <c r="CF20" s="56" t="str">
        <f t="shared" si="11"/>
        <v>x</v>
      </c>
      <c r="CG20" s="56" t="str">
        <f t="shared" si="11"/>
        <v>x</v>
      </c>
      <c r="CH20" s="56" t="str">
        <f t="shared" si="11"/>
        <v>x</v>
      </c>
      <c r="CI20" s="56" t="str">
        <f t="shared" si="11"/>
        <v>x</v>
      </c>
      <c r="CJ20" s="56" t="str">
        <f t="shared" si="11"/>
        <v>x</v>
      </c>
      <c r="CK20" s="56" t="str">
        <f t="shared" si="11"/>
        <v>x</v>
      </c>
      <c r="CL20" s="56" t="str">
        <f t="shared" si="11"/>
        <v>x</v>
      </c>
      <c r="CM20" s="56" t="str">
        <f t="shared" si="11"/>
        <v>x</v>
      </c>
      <c r="CN20" s="56" t="str">
        <f t="shared" si="11"/>
        <v>x</v>
      </c>
      <c r="CO20" s="56" t="str">
        <f t="shared" si="11"/>
        <v>x</v>
      </c>
      <c r="CP20" s="56" t="str">
        <f t="shared" si="17"/>
        <v>x</v>
      </c>
      <c r="CQ20" s="56" t="str">
        <f t="shared" si="17"/>
        <v>x</v>
      </c>
      <c r="CR20" s="56" t="str">
        <f t="shared" si="17"/>
        <v>x</v>
      </c>
      <c r="CS20" s="56" t="str">
        <f t="shared" si="17"/>
        <v>x</v>
      </c>
      <c r="CT20" s="56" t="str">
        <f t="shared" si="17"/>
        <v>x</v>
      </c>
      <c r="CU20" s="56" t="str">
        <f t="shared" si="17"/>
        <v>x</v>
      </c>
      <c r="CV20" s="56" t="str">
        <f t="shared" si="17"/>
        <v>x</v>
      </c>
      <c r="CW20" s="56" t="str">
        <f t="shared" si="17"/>
        <v>x</v>
      </c>
      <c r="CX20" s="56" t="str">
        <f t="shared" si="17"/>
        <v>x</v>
      </c>
      <c r="CY20" s="56" t="str">
        <f t="shared" si="17"/>
        <v>x</v>
      </c>
      <c r="CZ20" s="56" t="str">
        <f t="shared" si="17"/>
        <v>x</v>
      </c>
      <c r="DA20" s="56" t="str">
        <f t="shared" si="17"/>
        <v>x</v>
      </c>
      <c r="DB20" s="56" t="str">
        <f t="shared" si="17"/>
        <v>x</v>
      </c>
      <c r="DC20" s="56" t="str">
        <f t="shared" si="17"/>
        <v>--</v>
      </c>
      <c r="DD20" s="56" t="str">
        <f t="shared" si="17"/>
        <v>x</v>
      </c>
      <c r="DE20" s="56" t="str">
        <f t="shared" si="17"/>
        <v>x</v>
      </c>
      <c r="DF20" s="56" t="str">
        <f t="shared" si="16"/>
        <v>x</v>
      </c>
      <c r="DG20" s="56" t="str">
        <f t="shared" si="16"/>
        <v>x</v>
      </c>
      <c r="DH20" s="56" t="str">
        <f t="shared" si="16"/>
        <v>x</v>
      </c>
      <c r="DI20" s="56" t="str">
        <f t="shared" si="16"/>
        <v>x</v>
      </c>
      <c r="DJ20" s="56" t="str">
        <f t="shared" si="16"/>
        <v>x</v>
      </c>
      <c r="DK20" s="56" t="str">
        <f t="shared" si="16"/>
        <v>x</v>
      </c>
      <c r="DL20" s="56" t="str">
        <f t="shared" si="16"/>
        <v>x</v>
      </c>
      <c r="DM20" s="56" t="str">
        <f t="shared" si="6"/>
        <v>x</v>
      </c>
      <c r="DN20" s="56" t="str">
        <f t="shared" si="7"/>
        <v>x</v>
      </c>
      <c r="DO20" s="56" t="str">
        <f t="shared" si="7"/>
        <v>x</v>
      </c>
    </row>
    <row r="21" spans="1:119" ht="30.75" customHeight="1">
      <c r="A21" s="52"/>
      <c r="B21" s="30" t="s">
        <v>126</v>
      </c>
      <c r="C21" s="29" t="s">
        <v>296</v>
      </c>
      <c r="D21" s="130" t="s">
        <v>229</v>
      </c>
      <c r="E21" s="23" t="s">
        <v>184</v>
      </c>
      <c r="F21" s="36" t="s">
        <v>3</v>
      </c>
      <c r="G21" s="37"/>
      <c r="H21" s="37"/>
      <c r="I21" s="37"/>
      <c r="J21" s="119"/>
      <c r="K21" s="56" t="str">
        <f t="shared" si="8"/>
        <v>x</v>
      </c>
      <c r="L21" s="56" t="str">
        <f t="shared" si="8"/>
        <v>x</v>
      </c>
      <c r="M21" s="56" t="str">
        <f t="shared" si="8"/>
        <v>x</v>
      </c>
      <c r="N21" s="56" t="str">
        <f t="shared" si="8"/>
        <v>x</v>
      </c>
      <c r="O21" s="56" t="str">
        <f t="shared" si="8"/>
        <v>x</v>
      </c>
      <c r="P21" s="56" t="str">
        <f t="shared" si="8"/>
        <v>x</v>
      </c>
      <c r="Q21" s="56" t="str">
        <f t="shared" si="8"/>
        <v>x</v>
      </c>
      <c r="R21" s="56" t="str">
        <f t="shared" si="8"/>
        <v>x</v>
      </c>
      <c r="S21" s="56" t="str">
        <f t="shared" si="8"/>
        <v>x</v>
      </c>
      <c r="T21" s="56" t="str">
        <f t="shared" si="8"/>
        <v>x</v>
      </c>
      <c r="U21" s="56" t="str">
        <f t="shared" si="9"/>
        <v>x</v>
      </c>
      <c r="V21" s="56" t="str">
        <f t="shared" si="9"/>
        <v>x</v>
      </c>
      <c r="W21" s="56" t="str">
        <f t="shared" si="9"/>
        <v>x</v>
      </c>
      <c r="X21" s="56" t="str">
        <f t="shared" si="9"/>
        <v>x</v>
      </c>
      <c r="Y21" s="56" t="str">
        <f t="shared" si="9"/>
        <v>--</v>
      </c>
      <c r="Z21" s="56" t="str">
        <f t="shared" si="9"/>
        <v>x</v>
      </c>
      <c r="AA21" s="56" t="str">
        <f t="shared" si="9"/>
        <v>x</v>
      </c>
      <c r="AB21" s="56" t="str">
        <f t="shared" si="9"/>
        <v>x</v>
      </c>
      <c r="AC21" s="56" t="str">
        <f t="shared" si="9"/>
        <v>x</v>
      </c>
      <c r="AD21" s="56" t="str">
        <f t="shared" si="9"/>
        <v>x</v>
      </c>
      <c r="AE21" s="56" t="str">
        <f t="shared" si="19"/>
        <v>x</v>
      </c>
      <c r="AF21" s="56" t="str">
        <f t="shared" si="19"/>
        <v>x</v>
      </c>
      <c r="AG21" s="56" t="str">
        <f t="shared" si="19"/>
        <v>x</v>
      </c>
      <c r="AH21" s="56" t="str">
        <f t="shared" si="19"/>
        <v>x</v>
      </c>
      <c r="AI21" s="56" t="str">
        <f t="shared" si="19"/>
        <v>x</v>
      </c>
      <c r="AJ21" s="56" t="str">
        <f t="shared" si="19"/>
        <v>x</v>
      </c>
      <c r="AK21" s="56" t="str">
        <f t="shared" si="19"/>
        <v>x</v>
      </c>
      <c r="AL21" s="56" t="str">
        <f t="shared" si="19"/>
        <v>x</v>
      </c>
      <c r="AM21" s="56" t="str">
        <f t="shared" si="19"/>
        <v>x</v>
      </c>
      <c r="AN21" s="56" t="str">
        <f t="shared" si="19"/>
        <v>x</v>
      </c>
      <c r="AO21" s="56" t="str">
        <f t="shared" si="19"/>
        <v>x</v>
      </c>
      <c r="AP21" s="56" t="str">
        <f t="shared" si="19"/>
        <v>x</v>
      </c>
      <c r="AQ21" s="56" t="str">
        <f t="shared" si="19"/>
        <v>x</v>
      </c>
      <c r="AR21" s="56" t="str">
        <f t="shared" si="19"/>
        <v>x</v>
      </c>
      <c r="AS21" s="56" t="str">
        <f t="shared" si="19"/>
        <v>x</v>
      </c>
      <c r="AT21" s="56" t="str">
        <f t="shared" si="18"/>
        <v>x</v>
      </c>
      <c r="AU21" s="56" t="str">
        <f t="shared" si="18"/>
        <v>x</v>
      </c>
      <c r="AV21" s="56" t="str">
        <f t="shared" si="18"/>
        <v>x</v>
      </c>
      <c r="AW21" s="56" t="str">
        <f t="shared" si="18"/>
        <v>x</v>
      </c>
      <c r="AX21" s="56" t="str">
        <f t="shared" si="18"/>
        <v>x</v>
      </c>
      <c r="AY21" s="56" t="str">
        <f t="shared" si="18"/>
        <v>x</v>
      </c>
      <c r="AZ21" s="56" t="str">
        <f t="shared" si="18"/>
        <v>x</v>
      </c>
      <c r="BA21" s="56" t="str">
        <f t="shared" si="18"/>
        <v>x</v>
      </c>
      <c r="BB21" s="56" t="str">
        <f t="shared" si="18"/>
        <v>x</v>
      </c>
      <c r="BC21" s="56" t="str">
        <f t="shared" si="14"/>
        <v>x</v>
      </c>
      <c r="BD21" s="56" t="str">
        <f t="shared" si="14"/>
        <v>x</v>
      </c>
      <c r="BE21" s="56" t="str">
        <f t="shared" si="14"/>
        <v>x</v>
      </c>
      <c r="BF21" s="56" t="str">
        <f t="shared" si="14"/>
        <v>x</v>
      </c>
      <c r="BG21" s="56" t="str">
        <f t="shared" si="14"/>
        <v>x</v>
      </c>
      <c r="BH21" s="56" t="str">
        <f t="shared" si="14"/>
        <v>x</v>
      </c>
      <c r="BI21" s="56" t="str">
        <f t="shared" si="14"/>
        <v>x</v>
      </c>
      <c r="BJ21" s="56" t="str">
        <f t="shared" si="14"/>
        <v>x</v>
      </c>
      <c r="BK21" s="56" t="str">
        <f t="shared" si="15"/>
        <v>x</v>
      </c>
      <c r="BL21" s="56" t="str">
        <f t="shared" si="15"/>
        <v>x</v>
      </c>
      <c r="BM21" s="56" t="str">
        <f t="shared" si="15"/>
        <v>x</v>
      </c>
      <c r="BN21" s="56" t="str">
        <f t="shared" si="15"/>
        <v>x</v>
      </c>
      <c r="BO21" s="56" t="str">
        <f t="shared" si="15"/>
        <v>x</v>
      </c>
      <c r="BP21" s="56" t="str">
        <f t="shared" si="15"/>
        <v>x</v>
      </c>
      <c r="BQ21" s="56" t="str">
        <f t="shared" si="15"/>
        <v>x</v>
      </c>
      <c r="BR21" s="56" t="str">
        <f t="shared" si="15"/>
        <v>x</v>
      </c>
      <c r="BS21" s="56" t="str">
        <f t="shared" si="15"/>
        <v>x</v>
      </c>
      <c r="BT21" s="56" t="str">
        <f t="shared" si="15"/>
        <v>x</v>
      </c>
      <c r="BU21" s="56" t="str">
        <f t="shared" si="15"/>
        <v>x</v>
      </c>
      <c r="BV21" s="56" t="str">
        <f t="shared" si="15"/>
        <v>x</v>
      </c>
      <c r="BW21" s="56" t="str">
        <f t="shared" si="15"/>
        <v>x</v>
      </c>
      <c r="BX21" s="56" t="str">
        <f t="shared" si="15"/>
        <v>x</v>
      </c>
      <c r="BY21" s="56" t="str">
        <f t="shared" si="15"/>
        <v>x</v>
      </c>
      <c r="BZ21" s="56" t="str">
        <f t="shared" si="11"/>
        <v>x</v>
      </c>
      <c r="CA21" s="56" t="str">
        <f t="shared" si="11"/>
        <v>x</v>
      </c>
      <c r="CB21" s="56" t="str">
        <f t="shared" si="11"/>
        <v>x</v>
      </c>
      <c r="CC21" s="56" t="str">
        <f t="shared" si="11"/>
        <v>x</v>
      </c>
      <c r="CD21" s="56" t="str">
        <f t="shared" si="11"/>
        <v>x</v>
      </c>
      <c r="CE21" s="56" t="str">
        <f t="shared" si="11"/>
        <v>x</v>
      </c>
      <c r="CF21" s="56" t="str">
        <f t="shared" si="11"/>
        <v>x</v>
      </c>
      <c r="CG21" s="56" t="str">
        <f t="shared" si="11"/>
        <v>x</v>
      </c>
      <c r="CH21" s="56" t="str">
        <f t="shared" si="11"/>
        <v>x</v>
      </c>
      <c r="CI21" s="56" t="str">
        <f t="shared" si="11"/>
        <v>x</v>
      </c>
      <c r="CJ21" s="56" t="str">
        <f t="shared" si="11"/>
        <v>x</v>
      </c>
      <c r="CK21" s="56" t="str">
        <f t="shared" si="11"/>
        <v>x</v>
      </c>
      <c r="CL21" s="56" t="str">
        <f t="shared" si="11"/>
        <v>x</v>
      </c>
      <c r="CM21" s="56" t="str">
        <f t="shared" si="11"/>
        <v>x</v>
      </c>
      <c r="CN21" s="56" t="str">
        <f t="shared" si="11"/>
        <v>x</v>
      </c>
      <c r="CO21" s="56" t="str">
        <f t="shared" si="11"/>
        <v>x</v>
      </c>
      <c r="CP21" s="56" t="str">
        <f t="shared" si="17"/>
        <v>x</v>
      </c>
      <c r="CQ21" s="56" t="str">
        <f t="shared" si="17"/>
        <v>x</v>
      </c>
      <c r="CR21" s="56" t="str">
        <f t="shared" si="17"/>
        <v>x</v>
      </c>
      <c r="CS21" s="56" t="str">
        <f t="shared" si="17"/>
        <v>x</v>
      </c>
      <c r="CT21" s="56" t="str">
        <f t="shared" si="17"/>
        <v>x</v>
      </c>
      <c r="CU21" s="56" t="str">
        <f t="shared" si="17"/>
        <v>x</v>
      </c>
      <c r="CV21" s="56" t="str">
        <f t="shared" si="17"/>
        <v>--</v>
      </c>
      <c r="CW21" s="56" t="str">
        <f t="shared" si="17"/>
        <v>x</v>
      </c>
      <c r="CX21" s="56" t="str">
        <f t="shared" si="17"/>
        <v>x</v>
      </c>
      <c r="CY21" s="56" t="str">
        <f t="shared" si="17"/>
        <v>x</v>
      </c>
      <c r="CZ21" s="56" t="str">
        <f t="shared" si="17"/>
        <v>x</v>
      </c>
      <c r="DA21" s="56" t="str">
        <f t="shared" si="17"/>
        <v>x</v>
      </c>
      <c r="DB21" s="56" t="str">
        <f t="shared" si="17"/>
        <v>x</v>
      </c>
      <c r="DC21" s="56" t="str">
        <f t="shared" si="17"/>
        <v>x</v>
      </c>
      <c r="DD21" s="56" t="str">
        <f t="shared" si="17"/>
        <v>x</v>
      </c>
      <c r="DE21" s="56" t="str">
        <f t="shared" si="17"/>
        <v>x</v>
      </c>
      <c r="DF21" s="56" t="str">
        <f t="shared" si="16"/>
        <v>x</v>
      </c>
      <c r="DG21" s="56" t="str">
        <f t="shared" si="16"/>
        <v>x</v>
      </c>
      <c r="DH21" s="56" t="str">
        <f t="shared" si="16"/>
        <v>x</v>
      </c>
      <c r="DI21" s="56" t="str">
        <f t="shared" si="16"/>
        <v>x</v>
      </c>
      <c r="DJ21" s="56" t="str">
        <f t="shared" si="16"/>
        <v>x</v>
      </c>
      <c r="DK21" s="56" t="str">
        <f t="shared" si="16"/>
        <v>x</v>
      </c>
      <c r="DL21" s="56" t="str">
        <f t="shared" si="16"/>
        <v>x</v>
      </c>
      <c r="DM21" s="56" t="str">
        <f t="shared" si="6"/>
        <v>x</v>
      </c>
      <c r="DN21" s="56" t="str">
        <f t="shared" si="7"/>
        <v>x</v>
      </c>
      <c r="DO21" s="56" t="str">
        <f t="shared" si="7"/>
        <v>x</v>
      </c>
    </row>
    <row r="22" spans="1:119" ht="27.6">
      <c r="A22" s="52"/>
      <c r="B22" s="30" t="s">
        <v>127</v>
      </c>
      <c r="C22" s="29" t="s">
        <v>297</v>
      </c>
      <c r="D22" s="130" t="s">
        <v>230</v>
      </c>
      <c r="E22" s="23" t="s">
        <v>184</v>
      </c>
      <c r="F22" s="36" t="s">
        <v>3</v>
      </c>
      <c r="G22" s="37"/>
      <c r="H22" s="37"/>
      <c r="I22" s="37"/>
      <c r="J22" s="119"/>
      <c r="K22" s="56" t="str">
        <f t="shared" si="8"/>
        <v>x</v>
      </c>
      <c r="L22" s="56" t="str">
        <f t="shared" si="8"/>
        <v>x</v>
      </c>
      <c r="M22" s="56" t="str">
        <f t="shared" si="8"/>
        <v>x</v>
      </c>
      <c r="N22" s="56" t="str">
        <f t="shared" si="8"/>
        <v>x</v>
      </c>
      <c r="O22" s="56" t="str">
        <f t="shared" si="8"/>
        <v>x</v>
      </c>
      <c r="P22" s="56" t="str">
        <f t="shared" si="8"/>
        <v>x</v>
      </c>
      <c r="Q22" s="56" t="str">
        <f t="shared" si="8"/>
        <v>x</v>
      </c>
      <c r="R22" s="56" t="str">
        <f t="shared" si="8"/>
        <v>x</v>
      </c>
      <c r="S22" s="56" t="str">
        <f t="shared" si="8"/>
        <v>x</v>
      </c>
      <c r="T22" s="56" t="str">
        <f t="shared" si="8"/>
        <v>x</v>
      </c>
      <c r="U22" s="56" t="str">
        <f t="shared" si="9"/>
        <v>x</v>
      </c>
      <c r="V22" s="56" t="str">
        <f t="shared" si="9"/>
        <v>x</v>
      </c>
      <c r="W22" s="56" t="str">
        <f t="shared" si="9"/>
        <v>x</v>
      </c>
      <c r="X22" s="56" t="str">
        <f t="shared" si="9"/>
        <v>x</v>
      </c>
      <c r="Y22" s="56" t="str">
        <f t="shared" si="9"/>
        <v>x</v>
      </c>
      <c r="Z22" s="56" t="str">
        <f t="shared" si="9"/>
        <v>--</v>
      </c>
      <c r="AA22" s="56" t="str">
        <f t="shared" si="9"/>
        <v>x</v>
      </c>
      <c r="AB22" s="56" t="str">
        <f t="shared" si="9"/>
        <v>x</v>
      </c>
      <c r="AC22" s="56" t="str">
        <f t="shared" si="9"/>
        <v>x</v>
      </c>
      <c r="AD22" s="56" t="str">
        <f t="shared" si="9"/>
        <v>x</v>
      </c>
      <c r="AE22" s="56" t="str">
        <f t="shared" si="19"/>
        <v>x</v>
      </c>
      <c r="AF22" s="56" t="str">
        <f t="shared" si="19"/>
        <v>x</v>
      </c>
      <c r="AG22" s="56" t="str">
        <f t="shared" si="19"/>
        <v>x</v>
      </c>
      <c r="AH22" s="56" t="str">
        <f t="shared" si="19"/>
        <v>x</v>
      </c>
      <c r="AI22" s="56" t="str">
        <f t="shared" si="19"/>
        <v>x</v>
      </c>
      <c r="AJ22" s="56" t="str">
        <f t="shared" si="19"/>
        <v>x</v>
      </c>
      <c r="AK22" s="56" t="str">
        <f t="shared" si="19"/>
        <v>x</v>
      </c>
      <c r="AL22" s="56" t="str">
        <f t="shared" si="19"/>
        <v>x</v>
      </c>
      <c r="AM22" s="56" t="str">
        <f t="shared" si="19"/>
        <v>x</v>
      </c>
      <c r="AN22" s="56" t="str">
        <f t="shared" si="19"/>
        <v>x</v>
      </c>
      <c r="AO22" s="56" t="str">
        <f t="shared" si="19"/>
        <v>x</v>
      </c>
      <c r="AP22" s="56" t="str">
        <f t="shared" si="19"/>
        <v>x</v>
      </c>
      <c r="AQ22" s="56" t="str">
        <f t="shared" si="19"/>
        <v>x</v>
      </c>
      <c r="AR22" s="56" t="str">
        <f t="shared" si="19"/>
        <v>x</v>
      </c>
      <c r="AS22" s="56" t="str">
        <f t="shared" si="19"/>
        <v>x</v>
      </c>
      <c r="AT22" s="56" t="str">
        <f t="shared" si="18"/>
        <v>x</v>
      </c>
      <c r="AU22" s="56" t="str">
        <f t="shared" si="18"/>
        <v>x</v>
      </c>
      <c r="AV22" s="56" t="str">
        <f t="shared" si="18"/>
        <v>x</v>
      </c>
      <c r="AW22" s="56" t="str">
        <f t="shared" si="18"/>
        <v>x</v>
      </c>
      <c r="AX22" s="56" t="str">
        <f t="shared" si="18"/>
        <v>x</v>
      </c>
      <c r="AY22" s="56" t="str">
        <f t="shared" si="18"/>
        <v>x</v>
      </c>
      <c r="AZ22" s="56" t="str">
        <f t="shared" si="18"/>
        <v>x</v>
      </c>
      <c r="BA22" s="56" t="str">
        <f t="shared" si="18"/>
        <v>x</v>
      </c>
      <c r="BB22" s="56" t="str">
        <f t="shared" si="18"/>
        <v>x</v>
      </c>
      <c r="BC22" s="56" t="str">
        <f t="shared" si="14"/>
        <v>x</v>
      </c>
      <c r="BD22" s="56" t="str">
        <f t="shared" si="14"/>
        <v>x</v>
      </c>
      <c r="BE22" s="56" t="str">
        <f t="shared" si="14"/>
        <v>x</v>
      </c>
      <c r="BF22" s="56" t="str">
        <f t="shared" si="14"/>
        <v>x</v>
      </c>
      <c r="BG22" s="56" t="str">
        <f t="shared" si="14"/>
        <v>x</v>
      </c>
      <c r="BH22" s="56" t="str">
        <f t="shared" si="14"/>
        <v>x</v>
      </c>
      <c r="BI22" s="56" t="str">
        <f t="shared" si="14"/>
        <v>x</v>
      </c>
      <c r="BJ22" s="56" t="str">
        <f t="shared" si="14"/>
        <v>x</v>
      </c>
      <c r="BK22" s="56" t="str">
        <f t="shared" si="15"/>
        <v>x</v>
      </c>
      <c r="BL22" s="56" t="str">
        <f t="shared" si="15"/>
        <v>x</v>
      </c>
      <c r="BM22" s="56" t="str">
        <f t="shared" si="15"/>
        <v>x</v>
      </c>
      <c r="BN22" s="56" t="str">
        <f t="shared" si="15"/>
        <v>x</v>
      </c>
      <c r="BO22" s="56" t="str">
        <f t="shared" si="15"/>
        <v>x</v>
      </c>
      <c r="BP22" s="56" t="str">
        <f t="shared" si="15"/>
        <v>x</v>
      </c>
      <c r="BQ22" s="56" t="str">
        <f t="shared" si="15"/>
        <v>x</v>
      </c>
      <c r="BR22" s="56" t="str">
        <f t="shared" si="15"/>
        <v>x</v>
      </c>
      <c r="BS22" s="56" t="str">
        <f t="shared" si="15"/>
        <v>x</v>
      </c>
      <c r="BT22" s="56" t="str">
        <f t="shared" si="15"/>
        <v>x</v>
      </c>
      <c r="BU22" s="56" t="str">
        <f t="shared" si="15"/>
        <v>x</v>
      </c>
      <c r="BV22" s="56" t="str">
        <f t="shared" si="15"/>
        <v>x</v>
      </c>
      <c r="BW22" s="56" t="str">
        <f t="shared" si="15"/>
        <v>x</v>
      </c>
      <c r="BX22" s="56" t="str">
        <f t="shared" si="15"/>
        <v>x</v>
      </c>
      <c r="BY22" s="56" t="str">
        <f t="shared" si="15"/>
        <v>x</v>
      </c>
      <c r="BZ22" s="56" t="str">
        <f t="shared" si="11"/>
        <v>x</v>
      </c>
      <c r="CA22" s="56" t="str">
        <f t="shared" si="11"/>
        <v>x</v>
      </c>
      <c r="CB22" s="56" t="str">
        <f t="shared" si="11"/>
        <v>x</v>
      </c>
      <c r="CC22" s="56" t="str">
        <f t="shared" si="11"/>
        <v>x</v>
      </c>
      <c r="CD22" s="56" t="str">
        <f t="shared" si="11"/>
        <v>x</v>
      </c>
      <c r="CE22" s="56" t="str">
        <f t="shared" si="11"/>
        <v>x</v>
      </c>
      <c r="CF22" s="56" t="str">
        <f t="shared" si="11"/>
        <v>x</v>
      </c>
      <c r="CG22" s="56" t="str">
        <f t="shared" si="11"/>
        <v>x</v>
      </c>
      <c r="CH22" s="56" t="str">
        <f t="shared" si="11"/>
        <v>x</v>
      </c>
      <c r="CI22" s="56" t="str">
        <f t="shared" si="11"/>
        <v>x</v>
      </c>
      <c r="CJ22" s="56" t="str">
        <f t="shared" si="11"/>
        <v>x</v>
      </c>
      <c r="CK22" s="56" t="str">
        <f t="shared" si="11"/>
        <v>x</v>
      </c>
      <c r="CL22" s="56" t="str">
        <f t="shared" si="11"/>
        <v>x</v>
      </c>
      <c r="CM22" s="56" t="str">
        <f t="shared" si="11"/>
        <v>x</v>
      </c>
      <c r="CN22" s="56" t="str">
        <f t="shared" si="11"/>
        <v>x</v>
      </c>
      <c r="CO22" s="56" t="str">
        <f t="shared" si="11"/>
        <v>x</v>
      </c>
      <c r="CP22" s="56" t="str">
        <f t="shared" si="17"/>
        <v>x</v>
      </c>
      <c r="CQ22" s="56" t="str">
        <f t="shared" si="17"/>
        <v>x</v>
      </c>
      <c r="CR22" s="56" t="str">
        <f t="shared" si="17"/>
        <v>x</v>
      </c>
      <c r="CS22" s="56" t="str">
        <f t="shared" si="17"/>
        <v>x</v>
      </c>
      <c r="CT22" s="56" t="str">
        <f t="shared" si="17"/>
        <v>x</v>
      </c>
      <c r="CU22" s="56" t="str">
        <f t="shared" si="17"/>
        <v>x</v>
      </c>
      <c r="CV22" s="56" t="str">
        <f t="shared" si="17"/>
        <v>--</v>
      </c>
      <c r="CW22" s="56" t="str">
        <f t="shared" si="17"/>
        <v>x</v>
      </c>
      <c r="CX22" s="56" t="str">
        <f t="shared" si="17"/>
        <v>x</v>
      </c>
      <c r="CY22" s="56" t="str">
        <f t="shared" si="17"/>
        <v>x</v>
      </c>
      <c r="CZ22" s="56" t="str">
        <f t="shared" si="17"/>
        <v>x</v>
      </c>
      <c r="DA22" s="56" t="str">
        <f t="shared" si="17"/>
        <v>x</v>
      </c>
      <c r="DB22" s="56" t="str">
        <f t="shared" si="17"/>
        <v>x</v>
      </c>
      <c r="DC22" s="56" t="str">
        <f t="shared" si="17"/>
        <v>x</v>
      </c>
      <c r="DD22" s="56" t="str">
        <f t="shared" si="17"/>
        <v>x</v>
      </c>
      <c r="DE22" s="56" t="str">
        <f t="shared" si="17"/>
        <v>x</v>
      </c>
      <c r="DF22" s="56" t="str">
        <f t="shared" si="16"/>
        <v>x</v>
      </c>
      <c r="DG22" s="56" t="str">
        <f t="shared" si="16"/>
        <v>x</v>
      </c>
      <c r="DH22" s="56" t="str">
        <f t="shared" si="16"/>
        <v>x</v>
      </c>
      <c r="DI22" s="56" t="str">
        <f t="shared" si="16"/>
        <v>x</v>
      </c>
      <c r="DJ22" s="56" t="str">
        <f t="shared" si="16"/>
        <v>x</v>
      </c>
      <c r="DK22" s="56" t="str">
        <f t="shared" si="16"/>
        <v>x</v>
      </c>
      <c r="DL22" s="56" t="str">
        <f t="shared" si="16"/>
        <v>x</v>
      </c>
      <c r="DM22" s="56" t="str">
        <f t="shared" si="6"/>
        <v>x</v>
      </c>
      <c r="DN22" s="56" t="str">
        <f t="shared" si="7"/>
        <v>x</v>
      </c>
      <c r="DO22" s="56" t="str">
        <f t="shared" si="7"/>
        <v>x</v>
      </c>
    </row>
    <row r="23" spans="1:119" ht="27.6">
      <c r="A23" s="52"/>
      <c r="B23" s="30" t="s">
        <v>128</v>
      </c>
      <c r="C23" s="29" t="s">
        <v>346</v>
      </c>
      <c r="D23" s="130" t="s">
        <v>231</v>
      </c>
      <c r="E23" s="23" t="s">
        <v>184</v>
      </c>
      <c r="F23" s="36" t="s">
        <v>3</v>
      </c>
      <c r="G23" s="37"/>
      <c r="H23" s="37"/>
      <c r="I23" s="37"/>
      <c r="J23" s="119"/>
      <c r="K23" s="56" t="str">
        <f t="shared" si="8"/>
        <v>x</v>
      </c>
      <c r="L23" s="56" t="str">
        <f t="shared" si="8"/>
        <v>x</v>
      </c>
      <c r="M23" s="56" t="str">
        <f t="shared" si="8"/>
        <v>x</v>
      </c>
      <c r="N23" s="56" t="str">
        <f t="shared" si="8"/>
        <v>x</v>
      </c>
      <c r="O23" s="56" t="str">
        <f t="shared" si="8"/>
        <v>x</v>
      </c>
      <c r="P23" s="56" t="str">
        <f t="shared" si="8"/>
        <v>x</v>
      </c>
      <c r="Q23" s="56" t="str">
        <f t="shared" si="8"/>
        <v>x</v>
      </c>
      <c r="R23" s="56" t="str">
        <f t="shared" si="8"/>
        <v>x</v>
      </c>
      <c r="S23" s="56" t="str">
        <f t="shared" si="8"/>
        <v>x</v>
      </c>
      <c r="T23" s="56" t="str">
        <f t="shared" si="8"/>
        <v>x</v>
      </c>
      <c r="U23" s="56" t="str">
        <f t="shared" si="9"/>
        <v>x</v>
      </c>
      <c r="V23" s="56" t="str">
        <f t="shared" si="9"/>
        <v>x</v>
      </c>
      <c r="W23" s="56" t="str">
        <f t="shared" si="9"/>
        <v>x</v>
      </c>
      <c r="X23" s="56" t="str">
        <f t="shared" si="9"/>
        <v>x</v>
      </c>
      <c r="Y23" s="56" t="str">
        <f t="shared" si="9"/>
        <v>x</v>
      </c>
      <c r="Z23" s="56" t="str">
        <f t="shared" si="9"/>
        <v>x</v>
      </c>
      <c r="AA23" s="56" t="str">
        <f t="shared" si="9"/>
        <v>--</v>
      </c>
      <c r="AB23" s="56" t="str">
        <f t="shared" si="9"/>
        <v>x</v>
      </c>
      <c r="AC23" s="56" t="str">
        <f t="shared" si="9"/>
        <v>x</v>
      </c>
      <c r="AD23" s="56" t="str">
        <f t="shared" si="9"/>
        <v>x</v>
      </c>
      <c r="AE23" s="56" t="str">
        <f t="shared" si="19"/>
        <v>x</v>
      </c>
      <c r="AF23" s="56" t="str">
        <f t="shared" si="19"/>
        <v>x</v>
      </c>
      <c r="AG23" s="56" t="str">
        <f t="shared" si="19"/>
        <v>x</v>
      </c>
      <c r="AH23" s="56" t="str">
        <f t="shared" si="19"/>
        <v>x</v>
      </c>
      <c r="AI23" s="56" t="str">
        <f t="shared" si="19"/>
        <v>x</v>
      </c>
      <c r="AJ23" s="56" t="str">
        <f t="shared" si="19"/>
        <v>x</v>
      </c>
      <c r="AK23" s="56" t="str">
        <f t="shared" si="19"/>
        <v>x</v>
      </c>
      <c r="AL23" s="56" t="str">
        <f t="shared" si="19"/>
        <v>x</v>
      </c>
      <c r="AM23" s="56" t="str">
        <f t="shared" si="19"/>
        <v>x</v>
      </c>
      <c r="AN23" s="56" t="str">
        <f t="shared" si="19"/>
        <v>x</v>
      </c>
      <c r="AO23" s="56" t="str">
        <f t="shared" si="19"/>
        <v>x</v>
      </c>
      <c r="AP23" s="56" t="str">
        <f t="shared" si="19"/>
        <v>x</v>
      </c>
      <c r="AQ23" s="56" t="str">
        <f t="shared" si="19"/>
        <v>x</v>
      </c>
      <c r="AR23" s="56" t="str">
        <f t="shared" si="19"/>
        <v>x</v>
      </c>
      <c r="AS23" s="56" t="str">
        <f t="shared" si="19"/>
        <v>x</v>
      </c>
      <c r="AT23" s="56" t="str">
        <f t="shared" si="18"/>
        <v>x</v>
      </c>
      <c r="AU23" s="56" t="str">
        <f t="shared" si="18"/>
        <v>x</v>
      </c>
      <c r="AV23" s="56" t="str">
        <f t="shared" si="18"/>
        <v>x</v>
      </c>
      <c r="AW23" s="56" t="str">
        <f t="shared" si="18"/>
        <v>x</v>
      </c>
      <c r="AX23" s="56" t="str">
        <f t="shared" si="18"/>
        <v>x</v>
      </c>
      <c r="AY23" s="56" t="str">
        <f t="shared" si="18"/>
        <v>x</v>
      </c>
      <c r="AZ23" s="56" t="str">
        <f t="shared" si="18"/>
        <v>x</v>
      </c>
      <c r="BA23" s="56" t="str">
        <f t="shared" si="18"/>
        <v>x</v>
      </c>
      <c r="BB23" s="56" t="str">
        <f t="shared" si="18"/>
        <v>x</v>
      </c>
      <c r="BC23" s="56" t="str">
        <f t="shared" si="14"/>
        <v>x</v>
      </c>
      <c r="BD23" s="56" t="str">
        <f t="shared" si="14"/>
        <v>x</v>
      </c>
      <c r="BE23" s="56" t="str">
        <f t="shared" si="14"/>
        <v>x</v>
      </c>
      <c r="BF23" s="56" t="str">
        <f t="shared" si="14"/>
        <v>x</v>
      </c>
      <c r="BG23" s="56" t="str">
        <f t="shared" si="14"/>
        <v>x</v>
      </c>
      <c r="BH23" s="56" t="str">
        <f t="shared" si="14"/>
        <v>x</v>
      </c>
      <c r="BI23" s="56" t="str">
        <f t="shared" si="14"/>
        <v>x</v>
      </c>
      <c r="BJ23" s="56" t="str">
        <f t="shared" si="14"/>
        <v>x</v>
      </c>
      <c r="BK23" s="56" t="str">
        <f t="shared" si="15"/>
        <v>x</v>
      </c>
      <c r="BL23" s="56" t="str">
        <f t="shared" si="15"/>
        <v>x</v>
      </c>
      <c r="BM23" s="56" t="str">
        <f t="shared" si="15"/>
        <v>x</v>
      </c>
      <c r="BN23" s="56" t="str">
        <f t="shared" si="15"/>
        <v>x</v>
      </c>
      <c r="BO23" s="56" t="str">
        <f t="shared" si="15"/>
        <v>x</v>
      </c>
      <c r="BP23" s="56" t="str">
        <f t="shared" si="15"/>
        <v>x</v>
      </c>
      <c r="BQ23" s="56" t="str">
        <f t="shared" si="15"/>
        <v>x</v>
      </c>
      <c r="BR23" s="56" t="str">
        <f t="shared" si="15"/>
        <v>x</v>
      </c>
      <c r="BS23" s="56" t="str">
        <f t="shared" si="15"/>
        <v>x</v>
      </c>
      <c r="BT23" s="56" t="str">
        <f t="shared" si="15"/>
        <v>x</v>
      </c>
      <c r="BU23" s="56" t="str">
        <f t="shared" si="15"/>
        <v>x</v>
      </c>
      <c r="BV23" s="56" t="str">
        <f t="shared" si="15"/>
        <v>x</v>
      </c>
      <c r="BW23" s="56" t="str">
        <f t="shared" si="15"/>
        <v>x</v>
      </c>
      <c r="BX23" s="56" t="str">
        <f t="shared" si="15"/>
        <v>x</v>
      </c>
      <c r="BY23" s="56" t="str">
        <f t="shared" si="15"/>
        <v>x</v>
      </c>
      <c r="BZ23" s="56" t="str">
        <f t="shared" si="11"/>
        <v>x</v>
      </c>
      <c r="CA23" s="56" t="str">
        <f t="shared" si="11"/>
        <v>x</v>
      </c>
      <c r="CB23" s="56" t="str">
        <f t="shared" si="11"/>
        <v>x</v>
      </c>
      <c r="CC23" s="56" t="str">
        <f t="shared" si="11"/>
        <v>x</v>
      </c>
      <c r="CD23" s="56" t="str">
        <f t="shared" si="11"/>
        <v>x</v>
      </c>
      <c r="CE23" s="56" t="str">
        <f t="shared" si="11"/>
        <v>x</v>
      </c>
      <c r="CF23" s="56" t="str">
        <f t="shared" si="11"/>
        <v>x</v>
      </c>
      <c r="CG23" s="56" t="str">
        <f t="shared" si="11"/>
        <v>x</v>
      </c>
      <c r="CH23" s="56" t="str">
        <f t="shared" si="11"/>
        <v>x</v>
      </c>
      <c r="CI23" s="56" t="str">
        <f t="shared" si="11"/>
        <v>x</v>
      </c>
      <c r="CJ23" s="56" t="str">
        <f t="shared" si="11"/>
        <v>x</v>
      </c>
      <c r="CK23" s="56" t="str">
        <f t="shared" si="11"/>
        <v>x</v>
      </c>
      <c r="CL23" s="56" t="str">
        <f t="shared" si="11"/>
        <v>x</v>
      </c>
      <c r="CM23" s="56" t="str">
        <f t="shared" si="11"/>
        <v>x</v>
      </c>
      <c r="CN23" s="56" t="str">
        <f t="shared" si="11"/>
        <v>x</v>
      </c>
      <c r="CO23" s="56" t="str">
        <f t="shared" si="11"/>
        <v>x</v>
      </c>
      <c r="CP23" s="56" t="str">
        <f t="shared" si="17"/>
        <v>x</v>
      </c>
      <c r="CQ23" s="56" t="str">
        <f t="shared" si="17"/>
        <v>x</v>
      </c>
      <c r="CR23" s="56" t="str">
        <f t="shared" si="17"/>
        <v>x</v>
      </c>
      <c r="CS23" s="56" t="str">
        <f t="shared" si="17"/>
        <v>x</v>
      </c>
      <c r="CT23" s="56" t="str">
        <f t="shared" si="17"/>
        <v>x</v>
      </c>
      <c r="CU23" s="56" t="str">
        <f t="shared" si="17"/>
        <v>x</v>
      </c>
      <c r="CV23" s="56" t="str">
        <f t="shared" si="17"/>
        <v>--</v>
      </c>
      <c r="CW23" s="56" t="str">
        <f t="shared" si="17"/>
        <v>x</v>
      </c>
      <c r="CX23" s="56" t="str">
        <f t="shared" si="17"/>
        <v>x</v>
      </c>
      <c r="CY23" s="56" t="str">
        <f t="shared" si="17"/>
        <v>x</v>
      </c>
      <c r="CZ23" s="56" t="str">
        <f t="shared" si="17"/>
        <v>x</v>
      </c>
      <c r="DA23" s="56" t="str">
        <f t="shared" si="17"/>
        <v>x</v>
      </c>
      <c r="DB23" s="56" t="str">
        <f t="shared" si="17"/>
        <v>x</v>
      </c>
      <c r="DC23" s="56" t="str">
        <f t="shared" si="17"/>
        <v>x</v>
      </c>
      <c r="DD23" s="56" t="str">
        <f t="shared" si="17"/>
        <v>x</v>
      </c>
      <c r="DE23" s="56" t="str">
        <f t="shared" si="17"/>
        <v>x</v>
      </c>
      <c r="DF23" s="56" t="str">
        <f t="shared" si="16"/>
        <v>x</v>
      </c>
      <c r="DG23" s="56" t="str">
        <f t="shared" si="16"/>
        <v>x</v>
      </c>
      <c r="DH23" s="56" t="str">
        <f t="shared" si="16"/>
        <v>x</v>
      </c>
      <c r="DI23" s="56" t="str">
        <f t="shared" si="16"/>
        <v>x</v>
      </c>
      <c r="DJ23" s="56" t="str">
        <f t="shared" si="16"/>
        <v>x</v>
      </c>
      <c r="DK23" s="56" t="str">
        <f t="shared" si="16"/>
        <v>x</v>
      </c>
      <c r="DL23" s="56" t="str">
        <f t="shared" si="16"/>
        <v>x</v>
      </c>
      <c r="DM23" s="56" t="str">
        <f t="shared" si="16"/>
        <v>x</v>
      </c>
      <c r="DN23" s="56" t="str">
        <f t="shared" si="16"/>
        <v>x</v>
      </c>
      <c r="DO23" s="56" t="str">
        <f t="shared" si="16"/>
        <v>x</v>
      </c>
    </row>
    <row r="24" spans="1:119" s="15" customFormat="1" ht="44.25" customHeight="1" thickBot="1">
      <c r="A24" s="52" t="s">
        <v>275</v>
      </c>
      <c r="B24" s="30" t="s">
        <v>122</v>
      </c>
      <c r="C24" s="29" t="s">
        <v>359</v>
      </c>
      <c r="D24" s="130" t="s">
        <v>232</v>
      </c>
      <c r="E24" s="23" t="s">
        <v>196</v>
      </c>
      <c r="F24" s="36" t="s">
        <v>3</v>
      </c>
      <c r="G24" s="37"/>
      <c r="H24" s="37">
        <v>5</v>
      </c>
      <c r="I24" s="37"/>
      <c r="J24" s="119"/>
      <c r="K24" s="56" t="str">
        <f t="shared" ref="K24:Z47" si="20">IFERROR(IF(SEARCH(K$5,$D24),$F24,"-"),"x")</f>
        <v>x</v>
      </c>
      <c r="L24" s="56" t="str">
        <f t="shared" si="20"/>
        <v>x</v>
      </c>
      <c r="M24" s="56" t="str">
        <f t="shared" si="20"/>
        <v>x</v>
      </c>
      <c r="N24" s="56" t="str">
        <f t="shared" si="20"/>
        <v>x</v>
      </c>
      <c r="O24" s="56" t="str">
        <f t="shared" si="20"/>
        <v>x</v>
      </c>
      <c r="P24" s="56" t="str">
        <f t="shared" si="20"/>
        <v>x</v>
      </c>
      <c r="Q24" s="56" t="str">
        <f t="shared" si="20"/>
        <v>x</v>
      </c>
      <c r="R24" s="56" t="str">
        <f t="shared" si="20"/>
        <v>x</v>
      </c>
      <c r="S24" s="56" t="str">
        <f t="shared" si="20"/>
        <v>x</v>
      </c>
      <c r="T24" s="56" t="str">
        <f t="shared" si="20"/>
        <v>x</v>
      </c>
      <c r="U24" s="56" t="str">
        <f t="shared" si="20"/>
        <v>x</v>
      </c>
      <c r="V24" s="56" t="str">
        <f t="shared" si="20"/>
        <v>x</v>
      </c>
      <c r="W24" s="56" t="str">
        <f t="shared" si="20"/>
        <v>x</v>
      </c>
      <c r="X24" s="56" t="str">
        <f t="shared" si="20"/>
        <v>x</v>
      </c>
      <c r="Y24" s="56" t="str">
        <f t="shared" si="20"/>
        <v>x</v>
      </c>
      <c r="Z24" s="56" t="str">
        <f t="shared" si="20"/>
        <v>x</v>
      </c>
      <c r="AA24" s="56" t="str">
        <f t="shared" ref="U24:AJ49" si="21">IFERROR(IF(SEARCH(AA$5,$D24),$F24,"-"),"x")</f>
        <v>x</v>
      </c>
      <c r="AB24" s="56" t="str">
        <f t="shared" si="21"/>
        <v>--</v>
      </c>
      <c r="AC24" s="56" t="str">
        <f t="shared" si="21"/>
        <v>x</v>
      </c>
      <c r="AD24" s="56" t="str">
        <f t="shared" si="21"/>
        <v>x</v>
      </c>
      <c r="AE24" s="56" t="str">
        <f t="shared" si="19"/>
        <v>x</v>
      </c>
      <c r="AF24" s="56" t="str">
        <f t="shared" si="19"/>
        <v>x</v>
      </c>
      <c r="AG24" s="56" t="str">
        <f t="shared" si="19"/>
        <v>x</v>
      </c>
      <c r="AH24" s="56" t="str">
        <f t="shared" si="19"/>
        <v>x</v>
      </c>
      <c r="AI24" s="56" t="str">
        <f t="shared" si="19"/>
        <v>x</v>
      </c>
      <c r="AJ24" s="56" t="str">
        <f t="shared" si="19"/>
        <v>x</v>
      </c>
      <c r="AK24" s="56" t="str">
        <f t="shared" si="19"/>
        <v>x</v>
      </c>
      <c r="AL24" s="56" t="str">
        <f t="shared" si="19"/>
        <v>x</v>
      </c>
      <c r="AM24" s="56" t="str">
        <f t="shared" si="19"/>
        <v>x</v>
      </c>
      <c r="AN24" s="56" t="str">
        <f t="shared" si="19"/>
        <v>x</v>
      </c>
      <c r="AO24" s="56" t="str">
        <f t="shared" si="19"/>
        <v>x</v>
      </c>
      <c r="AP24" s="56" t="str">
        <f t="shared" si="19"/>
        <v>x</v>
      </c>
      <c r="AQ24" s="56" t="str">
        <f t="shared" si="19"/>
        <v>x</v>
      </c>
      <c r="AR24" s="56" t="str">
        <f t="shared" si="19"/>
        <v>x</v>
      </c>
      <c r="AS24" s="56" t="str">
        <f t="shared" si="19"/>
        <v>x</v>
      </c>
      <c r="AT24" s="56" t="str">
        <f t="shared" si="18"/>
        <v>x</v>
      </c>
      <c r="AU24" s="56" t="str">
        <f t="shared" si="18"/>
        <v>x</v>
      </c>
      <c r="AV24" s="56" t="str">
        <f t="shared" si="18"/>
        <v>x</v>
      </c>
      <c r="AW24" s="56" t="str">
        <f t="shared" si="18"/>
        <v>x</v>
      </c>
      <c r="AX24" s="56" t="str">
        <f t="shared" si="18"/>
        <v>x</v>
      </c>
      <c r="AY24" s="56" t="str">
        <f t="shared" si="18"/>
        <v>x</v>
      </c>
      <c r="AZ24" s="56" t="str">
        <f t="shared" si="18"/>
        <v>x</v>
      </c>
      <c r="BA24" s="56" t="str">
        <f t="shared" si="18"/>
        <v>x</v>
      </c>
      <c r="BB24" s="56" t="str">
        <f t="shared" si="18"/>
        <v>x</v>
      </c>
      <c r="BC24" s="56" t="str">
        <f t="shared" si="14"/>
        <v>x</v>
      </c>
      <c r="BD24" s="56" t="str">
        <f t="shared" si="14"/>
        <v>x</v>
      </c>
      <c r="BE24" s="56" t="str">
        <f t="shared" si="14"/>
        <v>x</v>
      </c>
      <c r="BF24" s="56" t="str">
        <f t="shared" si="14"/>
        <v>x</v>
      </c>
      <c r="BG24" s="56" t="str">
        <f t="shared" si="14"/>
        <v>x</v>
      </c>
      <c r="BH24" s="56" t="str">
        <f t="shared" si="14"/>
        <v>x</v>
      </c>
      <c r="BI24" s="56" t="str">
        <f t="shared" si="14"/>
        <v>x</v>
      </c>
      <c r="BJ24" s="56" t="str">
        <f t="shared" si="14"/>
        <v>x</v>
      </c>
      <c r="BK24" s="56" t="str">
        <f t="shared" si="15"/>
        <v>x</v>
      </c>
      <c r="BL24" s="56" t="str">
        <f t="shared" si="15"/>
        <v>x</v>
      </c>
      <c r="BM24" s="56" t="str">
        <f t="shared" si="15"/>
        <v>x</v>
      </c>
      <c r="BN24" s="56" t="str">
        <f t="shared" si="15"/>
        <v>x</v>
      </c>
      <c r="BO24" s="56" t="str">
        <f t="shared" si="15"/>
        <v>x</v>
      </c>
      <c r="BP24" s="56" t="str">
        <f t="shared" si="15"/>
        <v>x</v>
      </c>
      <c r="BQ24" s="56" t="str">
        <f t="shared" si="15"/>
        <v>x</v>
      </c>
      <c r="BR24" s="56" t="str">
        <f t="shared" si="15"/>
        <v>x</v>
      </c>
      <c r="BS24" s="56" t="str">
        <f t="shared" si="15"/>
        <v>x</v>
      </c>
      <c r="BT24" s="56" t="str">
        <f t="shared" si="15"/>
        <v>x</v>
      </c>
      <c r="BU24" s="56" t="str">
        <f t="shared" si="15"/>
        <v>x</v>
      </c>
      <c r="BV24" s="56" t="str">
        <f t="shared" si="15"/>
        <v>x</v>
      </c>
      <c r="BW24" s="56" t="str">
        <f t="shared" si="15"/>
        <v>x</v>
      </c>
      <c r="BX24" s="56" t="str">
        <f t="shared" si="15"/>
        <v>x</v>
      </c>
      <c r="BY24" s="56" t="str">
        <f t="shared" si="15"/>
        <v>x</v>
      </c>
      <c r="BZ24" s="56" t="str">
        <f t="shared" si="11"/>
        <v>x</v>
      </c>
      <c r="CA24" s="56" t="str">
        <f t="shared" si="11"/>
        <v>x</v>
      </c>
      <c r="CB24" s="56" t="str">
        <f t="shared" si="11"/>
        <v>x</v>
      </c>
      <c r="CC24" s="56" t="str">
        <f t="shared" si="11"/>
        <v>x</v>
      </c>
      <c r="CD24" s="56" t="str">
        <f t="shared" si="11"/>
        <v>x</v>
      </c>
      <c r="CE24" s="56" t="str">
        <f t="shared" si="11"/>
        <v>x</v>
      </c>
      <c r="CF24" s="56" t="str">
        <f t="shared" ref="CF24:CU39" si="22">IFERROR(IF(SEARCH(CF$5,$E24),$F24,"-"),"x")</f>
        <v>x</v>
      </c>
      <c r="CG24" s="56" t="str">
        <f t="shared" si="22"/>
        <v>x</v>
      </c>
      <c r="CH24" s="56" t="str">
        <f t="shared" si="22"/>
        <v>x</v>
      </c>
      <c r="CI24" s="56" t="str">
        <f t="shared" si="22"/>
        <v>x</v>
      </c>
      <c r="CJ24" s="56" t="str">
        <f t="shared" si="22"/>
        <v>x</v>
      </c>
      <c r="CK24" s="56" t="str">
        <f t="shared" si="22"/>
        <v>x</v>
      </c>
      <c r="CL24" s="56" t="str">
        <f t="shared" si="22"/>
        <v>x</v>
      </c>
      <c r="CM24" s="56" t="str">
        <f t="shared" si="22"/>
        <v>x</v>
      </c>
      <c r="CN24" s="56" t="str">
        <f t="shared" si="22"/>
        <v>x</v>
      </c>
      <c r="CO24" s="56" t="str">
        <f t="shared" si="22"/>
        <v>x</v>
      </c>
      <c r="CP24" s="56" t="str">
        <f t="shared" si="22"/>
        <v>x</v>
      </c>
      <c r="CQ24" s="56" t="str">
        <f t="shared" si="22"/>
        <v>x</v>
      </c>
      <c r="CR24" s="56" t="str">
        <f t="shared" si="22"/>
        <v>x</v>
      </c>
      <c r="CS24" s="56" t="str">
        <f t="shared" si="22"/>
        <v>x</v>
      </c>
      <c r="CT24" s="56" t="str">
        <f t="shared" si="22"/>
        <v>x</v>
      </c>
      <c r="CU24" s="56" t="str">
        <f t="shared" si="22"/>
        <v>x</v>
      </c>
      <c r="CV24" s="56" t="str">
        <f t="shared" si="17"/>
        <v>x</v>
      </c>
      <c r="CW24" s="56" t="str">
        <f t="shared" si="17"/>
        <v>x</v>
      </c>
      <c r="CX24" s="56" t="str">
        <f t="shared" si="17"/>
        <v>x</v>
      </c>
      <c r="CY24" s="56" t="str">
        <f t="shared" si="17"/>
        <v>x</v>
      </c>
      <c r="CZ24" s="56" t="str">
        <f t="shared" si="17"/>
        <v>x</v>
      </c>
      <c r="DA24" s="56" t="str">
        <f t="shared" si="17"/>
        <v>x</v>
      </c>
      <c r="DB24" s="56" t="str">
        <f t="shared" si="17"/>
        <v>x</v>
      </c>
      <c r="DC24" s="56" t="str">
        <f t="shared" si="17"/>
        <v>x</v>
      </c>
      <c r="DD24" s="56" t="str">
        <f t="shared" si="17"/>
        <v>x</v>
      </c>
      <c r="DE24" s="56" t="str">
        <f t="shared" si="17"/>
        <v>x</v>
      </c>
      <c r="DF24" s="56" t="str">
        <f t="shared" si="16"/>
        <v>x</v>
      </c>
      <c r="DG24" s="56" t="str">
        <f t="shared" si="16"/>
        <v>x</v>
      </c>
      <c r="DH24" s="56" t="str">
        <f t="shared" si="16"/>
        <v>--</v>
      </c>
      <c r="DI24" s="56" t="str">
        <f t="shared" si="16"/>
        <v>x</v>
      </c>
      <c r="DJ24" s="56" t="str">
        <f t="shared" si="16"/>
        <v>x</v>
      </c>
      <c r="DK24" s="56" t="str">
        <f t="shared" si="16"/>
        <v>x</v>
      </c>
      <c r="DL24" s="56" t="str">
        <f t="shared" si="16"/>
        <v>x</v>
      </c>
      <c r="DM24" s="56" t="str">
        <f t="shared" si="16"/>
        <v>x</v>
      </c>
      <c r="DN24" s="56" t="str">
        <f t="shared" si="16"/>
        <v>x</v>
      </c>
      <c r="DO24" s="56" t="str">
        <f t="shared" si="16"/>
        <v>x</v>
      </c>
    </row>
    <row r="25" spans="1:119" s="18" customFormat="1" ht="27.6">
      <c r="A25" s="52"/>
      <c r="B25" s="30" t="s">
        <v>123</v>
      </c>
      <c r="C25" s="29" t="s">
        <v>360</v>
      </c>
      <c r="D25" s="130" t="s">
        <v>233</v>
      </c>
      <c r="E25" s="23" t="s">
        <v>169</v>
      </c>
      <c r="F25" s="36" t="s">
        <v>3</v>
      </c>
      <c r="G25" s="37"/>
      <c r="H25" s="37">
        <v>5</v>
      </c>
      <c r="I25" s="37"/>
      <c r="J25" s="119"/>
      <c r="K25" s="56" t="str">
        <f t="shared" si="20"/>
        <v>x</v>
      </c>
      <c r="L25" s="56" t="str">
        <f t="shared" si="20"/>
        <v>x</v>
      </c>
      <c r="M25" s="56" t="str">
        <f t="shared" si="20"/>
        <v>x</v>
      </c>
      <c r="N25" s="56" t="str">
        <f t="shared" si="20"/>
        <v>x</v>
      </c>
      <c r="O25" s="56" t="str">
        <f t="shared" si="20"/>
        <v>x</v>
      </c>
      <c r="P25" s="56" t="str">
        <f t="shared" si="20"/>
        <v>x</v>
      </c>
      <c r="Q25" s="56" t="str">
        <f t="shared" si="20"/>
        <v>x</v>
      </c>
      <c r="R25" s="56" t="str">
        <f t="shared" si="20"/>
        <v>x</v>
      </c>
      <c r="S25" s="56" t="str">
        <f t="shared" si="20"/>
        <v>x</v>
      </c>
      <c r="T25" s="56" t="str">
        <f t="shared" si="20"/>
        <v>x</v>
      </c>
      <c r="U25" s="56" t="str">
        <f t="shared" si="21"/>
        <v>x</v>
      </c>
      <c r="V25" s="56" t="str">
        <f t="shared" si="21"/>
        <v>x</v>
      </c>
      <c r="W25" s="56" t="str">
        <f t="shared" si="21"/>
        <v>x</v>
      </c>
      <c r="X25" s="56" t="str">
        <f t="shared" si="21"/>
        <v>x</v>
      </c>
      <c r="Y25" s="56" t="str">
        <f t="shared" si="21"/>
        <v>x</v>
      </c>
      <c r="Z25" s="56" t="str">
        <f t="shared" si="21"/>
        <v>x</v>
      </c>
      <c r="AA25" s="56" t="str">
        <f t="shared" si="21"/>
        <v>x</v>
      </c>
      <c r="AB25" s="56" t="str">
        <f t="shared" si="21"/>
        <v>x</v>
      </c>
      <c r="AC25" s="56" t="str">
        <f t="shared" si="21"/>
        <v>--</v>
      </c>
      <c r="AD25" s="56" t="str">
        <f t="shared" si="21"/>
        <v>x</v>
      </c>
      <c r="AE25" s="56" t="str">
        <f t="shared" si="19"/>
        <v>x</v>
      </c>
      <c r="AF25" s="56" t="str">
        <f t="shared" si="19"/>
        <v>x</v>
      </c>
      <c r="AG25" s="56" t="str">
        <f t="shared" si="19"/>
        <v>x</v>
      </c>
      <c r="AH25" s="56" t="str">
        <f t="shared" si="19"/>
        <v>x</v>
      </c>
      <c r="AI25" s="56" t="str">
        <f t="shared" si="19"/>
        <v>x</v>
      </c>
      <c r="AJ25" s="56" t="str">
        <f t="shared" si="19"/>
        <v>x</v>
      </c>
      <c r="AK25" s="56" t="str">
        <f t="shared" si="19"/>
        <v>x</v>
      </c>
      <c r="AL25" s="56" t="str">
        <f t="shared" si="19"/>
        <v>x</v>
      </c>
      <c r="AM25" s="56" t="str">
        <f t="shared" si="19"/>
        <v>x</v>
      </c>
      <c r="AN25" s="56" t="str">
        <f t="shared" si="19"/>
        <v>x</v>
      </c>
      <c r="AO25" s="56" t="str">
        <f t="shared" si="19"/>
        <v>x</v>
      </c>
      <c r="AP25" s="56" t="str">
        <f t="shared" si="19"/>
        <v>x</v>
      </c>
      <c r="AQ25" s="56" t="str">
        <f t="shared" si="19"/>
        <v>x</v>
      </c>
      <c r="AR25" s="56" t="str">
        <f t="shared" si="19"/>
        <v>x</v>
      </c>
      <c r="AS25" s="56" t="str">
        <f t="shared" si="19"/>
        <v>x</v>
      </c>
      <c r="AT25" s="56" t="str">
        <f t="shared" si="18"/>
        <v>x</v>
      </c>
      <c r="AU25" s="56" t="str">
        <f t="shared" si="18"/>
        <v>x</v>
      </c>
      <c r="AV25" s="56" t="str">
        <f t="shared" si="18"/>
        <v>x</v>
      </c>
      <c r="AW25" s="56" t="str">
        <f t="shared" si="18"/>
        <v>x</v>
      </c>
      <c r="AX25" s="56" t="str">
        <f t="shared" si="18"/>
        <v>x</v>
      </c>
      <c r="AY25" s="56" t="str">
        <f t="shared" si="18"/>
        <v>x</v>
      </c>
      <c r="AZ25" s="56" t="str">
        <f t="shared" si="18"/>
        <v>x</v>
      </c>
      <c r="BA25" s="56" t="str">
        <f t="shared" si="18"/>
        <v>x</v>
      </c>
      <c r="BB25" s="56" t="str">
        <f t="shared" si="18"/>
        <v>x</v>
      </c>
      <c r="BC25" s="56" t="str">
        <f t="shared" si="14"/>
        <v>x</v>
      </c>
      <c r="BD25" s="56" t="str">
        <f t="shared" si="14"/>
        <v>x</v>
      </c>
      <c r="BE25" s="56" t="str">
        <f t="shared" si="14"/>
        <v>x</v>
      </c>
      <c r="BF25" s="56" t="str">
        <f t="shared" si="14"/>
        <v>x</v>
      </c>
      <c r="BG25" s="56" t="str">
        <f t="shared" si="14"/>
        <v>x</v>
      </c>
      <c r="BH25" s="56" t="str">
        <f t="shared" si="14"/>
        <v>x</v>
      </c>
      <c r="BI25" s="56" t="str">
        <f t="shared" si="14"/>
        <v>x</v>
      </c>
      <c r="BJ25" s="56" t="str">
        <f t="shared" si="14"/>
        <v>x</v>
      </c>
      <c r="BK25" s="56" t="str">
        <f t="shared" si="15"/>
        <v>x</v>
      </c>
      <c r="BL25" s="56" t="str">
        <f t="shared" si="15"/>
        <v>x</v>
      </c>
      <c r="BM25" s="56" t="str">
        <f t="shared" si="15"/>
        <v>x</v>
      </c>
      <c r="BN25" s="56" t="str">
        <f t="shared" si="15"/>
        <v>x</v>
      </c>
      <c r="BO25" s="56" t="str">
        <f t="shared" si="15"/>
        <v>x</v>
      </c>
      <c r="BP25" s="56" t="str">
        <f t="shared" si="15"/>
        <v>x</v>
      </c>
      <c r="BQ25" s="56" t="str">
        <f t="shared" si="15"/>
        <v>x</v>
      </c>
      <c r="BR25" s="56" t="str">
        <f t="shared" si="15"/>
        <v>x</v>
      </c>
      <c r="BS25" s="56" t="str">
        <f t="shared" si="15"/>
        <v>x</v>
      </c>
      <c r="BT25" s="56" t="str">
        <f t="shared" si="15"/>
        <v>x</v>
      </c>
      <c r="BU25" s="56" t="str">
        <f t="shared" si="15"/>
        <v>x</v>
      </c>
      <c r="BV25" s="56" t="str">
        <f t="shared" si="15"/>
        <v>x</v>
      </c>
      <c r="BW25" s="56" t="str">
        <f t="shared" si="15"/>
        <v>x</v>
      </c>
      <c r="BX25" s="56" t="str">
        <f t="shared" si="15"/>
        <v>x</v>
      </c>
      <c r="BY25" s="56" t="str">
        <f t="shared" si="15"/>
        <v>x</v>
      </c>
      <c r="BZ25" s="56" t="str">
        <f t="shared" ref="BZ25:CO40" si="23">IFERROR(IF(SEARCH(BZ$5,$E25),$F25,"-"),"x")</f>
        <v>x</v>
      </c>
      <c r="CA25" s="56" t="str">
        <f t="shared" si="23"/>
        <v>x</v>
      </c>
      <c r="CB25" s="56" t="str">
        <f t="shared" si="23"/>
        <v>x</v>
      </c>
      <c r="CC25" s="56" t="str">
        <f t="shared" si="23"/>
        <v>x</v>
      </c>
      <c r="CD25" s="56" t="str">
        <f t="shared" si="23"/>
        <v>x</v>
      </c>
      <c r="CE25" s="56" t="str">
        <f t="shared" si="23"/>
        <v>x</v>
      </c>
      <c r="CF25" s="56" t="str">
        <f t="shared" si="23"/>
        <v>x</v>
      </c>
      <c r="CG25" s="56" t="str">
        <f t="shared" si="23"/>
        <v>--</v>
      </c>
      <c r="CH25" s="56" t="str">
        <f t="shared" si="23"/>
        <v>x</v>
      </c>
      <c r="CI25" s="56" t="str">
        <f t="shared" si="23"/>
        <v>x</v>
      </c>
      <c r="CJ25" s="56" t="str">
        <f t="shared" si="23"/>
        <v>x</v>
      </c>
      <c r="CK25" s="56" t="str">
        <f t="shared" si="23"/>
        <v>x</v>
      </c>
      <c r="CL25" s="56" t="str">
        <f t="shared" si="23"/>
        <v>x</v>
      </c>
      <c r="CM25" s="56" t="str">
        <f t="shared" si="23"/>
        <v>x</v>
      </c>
      <c r="CN25" s="56" t="str">
        <f t="shared" si="23"/>
        <v>x</v>
      </c>
      <c r="CO25" s="56" t="str">
        <f t="shared" si="23"/>
        <v>x</v>
      </c>
      <c r="CP25" s="56" t="str">
        <f t="shared" si="22"/>
        <v>x</v>
      </c>
      <c r="CQ25" s="56" t="str">
        <f t="shared" si="22"/>
        <v>x</v>
      </c>
      <c r="CR25" s="56" t="str">
        <f t="shared" si="22"/>
        <v>x</v>
      </c>
      <c r="CS25" s="56" t="str">
        <f t="shared" si="22"/>
        <v>x</v>
      </c>
      <c r="CT25" s="56" t="str">
        <f t="shared" si="22"/>
        <v>x</v>
      </c>
      <c r="CU25" s="56" t="str">
        <f t="shared" si="22"/>
        <v>x</v>
      </c>
      <c r="CV25" s="56" t="str">
        <f t="shared" si="17"/>
        <v>x</v>
      </c>
      <c r="CW25" s="56" t="str">
        <f t="shared" si="17"/>
        <v>x</v>
      </c>
      <c r="CX25" s="56" t="str">
        <f t="shared" si="17"/>
        <v>x</v>
      </c>
      <c r="CY25" s="56" t="str">
        <f t="shared" si="17"/>
        <v>x</v>
      </c>
      <c r="CZ25" s="56" t="str">
        <f t="shared" si="17"/>
        <v>x</v>
      </c>
      <c r="DA25" s="56" t="str">
        <f t="shared" si="17"/>
        <v>x</v>
      </c>
      <c r="DB25" s="56" t="str">
        <f t="shared" si="17"/>
        <v>x</v>
      </c>
      <c r="DC25" s="56" t="str">
        <f t="shared" si="17"/>
        <v>x</v>
      </c>
      <c r="DD25" s="56" t="str">
        <f t="shared" si="17"/>
        <v>x</v>
      </c>
      <c r="DE25" s="56" t="str">
        <f t="shared" si="17"/>
        <v>x</v>
      </c>
      <c r="DF25" s="56" t="str">
        <f t="shared" si="16"/>
        <v>x</v>
      </c>
      <c r="DG25" s="56" t="str">
        <f t="shared" si="16"/>
        <v>x</v>
      </c>
      <c r="DH25" s="56" t="str">
        <f t="shared" si="16"/>
        <v>x</v>
      </c>
      <c r="DI25" s="56" t="str">
        <f t="shared" si="16"/>
        <v>x</v>
      </c>
      <c r="DJ25" s="56" t="str">
        <f t="shared" si="16"/>
        <v>x</v>
      </c>
      <c r="DK25" s="56" t="str">
        <f t="shared" si="16"/>
        <v>x</v>
      </c>
      <c r="DL25" s="56" t="str">
        <f t="shared" si="16"/>
        <v>x</v>
      </c>
      <c r="DM25" s="56" t="str">
        <f t="shared" si="16"/>
        <v>x</v>
      </c>
      <c r="DN25" s="56" t="str">
        <f t="shared" si="16"/>
        <v>x</v>
      </c>
      <c r="DO25" s="56" t="str">
        <f t="shared" si="16"/>
        <v>x</v>
      </c>
    </row>
    <row r="26" spans="1:119" ht="98.25" customHeight="1">
      <c r="A26" s="52"/>
      <c r="B26" s="30" t="s">
        <v>12</v>
      </c>
      <c r="C26" s="29" t="s">
        <v>361</v>
      </c>
      <c r="D26" s="130" t="s">
        <v>234</v>
      </c>
      <c r="E26" s="23" t="s">
        <v>192</v>
      </c>
      <c r="F26" s="36" t="s">
        <v>3</v>
      </c>
      <c r="G26" s="37"/>
      <c r="H26" s="37">
        <v>5</v>
      </c>
      <c r="I26" s="37"/>
      <c r="J26" s="119"/>
      <c r="K26" s="56" t="str">
        <f t="shared" si="20"/>
        <v>x</v>
      </c>
      <c r="L26" s="56" t="str">
        <f t="shared" si="20"/>
        <v>x</v>
      </c>
      <c r="M26" s="56" t="str">
        <f t="shared" si="20"/>
        <v>x</v>
      </c>
      <c r="N26" s="56" t="str">
        <f t="shared" si="20"/>
        <v>x</v>
      </c>
      <c r="O26" s="56" t="str">
        <f t="shared" si="20"/>
        <v>x</v>
      </c>
      <c r="P26" s="56" t="str">
        <f t="shared" si="20"/>
        <v>x</v>
      </c>
      <c r="Q26" s="56" t="str">
        <f t="shared" si="20"/>
        <v>x</v>
      </c>
      <c r="R26" s="56" t="str">
        <f t="shared" si="20"/>
        <v>x</v>
      </c>
      <c r="S26" s="56" t="str">
        <f t="shared" si="20"/>
        <v>x</v>
      </c>
      <c r="T26" s="56" t="str">
        <f t="shared" si="20"/>
        <v>x</v>
      </c>
      <c r="U26" s="56" t="str">
        <f t="shared" si="21"/>
        <v>x</v>
      </c>
      <c r="V26" s="56" t="str">
        <f t="shared" si="21"/>
        <v>x</v>
      </c>
      <c r="W26" s="56" t="str">
        <f t="shared" si="21"/>
        <v>x</v>
      </c>
      <c r="X26" s="56" t="str">
        <f t="shared" si="21"/>
        <v>x</v>
      </c>
      <c r="Y26" s="56" t="str">
        <f t="shared" si="21"/>
        <v>x</v>
      </c>
      <c r="Z26" s="56" t="str">
        <f t="shared" si="21"/>
        <v>x</v>
      </c>
      <c r="AA26" s="56" t="str">
        <f t="shared" si="21"/>
        <v>x</v>
      </c>
      <c r="AB26" s="56" t="str">
        <f t="shared" si="21"/>
        <v>x</v>
      </c>
      <c r="AC26" s="56" t="str">
        <f t="shared" si="21"/>
        <v>x</v>
      </c>
      <c r="AD26" s="56" t="str">
        <f t="shared" si="21"/>
        <v>--</v>
      </c>
      <c r="AE26" s="56" t="str">
        <f t="shared" si="19"/>
        <v>x</v>
      </c>
      <c r="AF26" s="56" t="str">
        <f t="shared" si="19"/>
        <v>x</v>
      </c>
      <c r="AG26" s="56" t="str">
        <f t="shared" si="19"/>
        <v>x</v>
      </c>
      <c r="AH26" s="56" t="str">
        <f t="shared" si="19"/>
        <v>x</v>
      </c>
      <c r="AI26" s="56" t="str">
        <f t="shared" si="19"/>
        <v>x</v>
      </c>
      <c r="AJ26" s="56" t="str">
        <f t="shared" si="19"/>
        <v>x</v>
      </c>
      <c r="AK26" s="56" t="str">
        <f t="shared" si="19"/>
        <v>x</v>
      </c>
      <c r="AL26" s="56" t="str">
        <f t="shared" si="19"/>
        <v>x</v>
      </c>
      <c r="AM26" s="56" t="str">
        <f t="shared" si="19"/>
        <v>x</v>
      </c>
      <c r="AN26" s="56" t="str">
        <f t="shared" si="19"/>
        <v>x</v>
      </c>
      <c r="AO26" s="56" t="str">
        <f t="shared" si="19"/>
        <v>x</v>
      </c>
      <c r="AP26" s="56" t="str">
        <f t="shared" si="19"/>
        <v>x</v>
      </c>
      <c r="AQ26" s="56" t="str">
        <f t="shared" si="19"/>
        <v>x</v>
      </c>
      <c r="AR26" s="56" t="str">
        <f t="shared" si="19"/>
        <v>x</v>
      </c>
      <c r="AS26" s="56" t="str">
        <f t="shared" si="19"/>
        <v>x</v>
      </c>
      <c r="AT26" s="56" t="str">
        <f t="shared" si="18"/>
        <v>x</v>
      </c>
      <c r="AU26" s="56" t="str">
        <f t="shared" si="18"/>
        <v>x</v>
      </c>
      <c r="AV26" s="56" t="str">
        <f t="shared" si="18"/>
        <v>x</v>
      </c>
      <c r="AW26" s="56" t="str">
        <f t="shared" si="18"/>
        <v>x</v>
      </c>
      <c r="AX26" s="56" t="str">
        <f t="shared" si="18"/>
        <v>x</v>
      </c>
      <c r="AY26" s="56" t="str">
        <f t="shared" si="18"/>
        <v>x</v>
      </c>
      <c r="AZ26" s="56" t="str">
        <f t="shared" si="18"/>
        <v>x</v>
      </c>
      <c r="BA26" s="56" t="str">
        <f t="shared" si="18"/>
        <v>x</v>
      </c>
      <c r="BB26" s="56" t="str">
        <f t="shared" si="18"/>
        <v>x</v>
      </c>
      <c r="BC26" s="56" t="str">
        <f t="shared" si="14"/>
        <v>x</v>
      </c>
      <c r="BD26" s="56" t="str">
        <f t="shared" si="14"/>
        <v>x</v>
      </c>
      <c r="BE26" s="56" t="str">
        <f t="shared" si="14"/>
        <v>x</v>
      </c>
      <c r="BF26" s="56" t="str">
        <f t="shared" si="14"/>
        <v>x</v>
      </c>
      <c r="BG26" s="56" t="str">
        <f t="shared" si="14"/>
        <v>x</v>
      </c>
      <c r="BH26" s="56" t="str">
        <f t="shared" si="14"/>
        <v>x</v>
      </c>
      <c r="BI26" s="56" t="str">
        <f t="shared" si="14"/>
        <v>x</v>
      </c>
      <c r="BJ26" s="56" t="str">
        <f t="shared" si="14"/>
        <v>x</v>
      </c>
      <c r="BK26" s="56" t="str">
        <f t="shared" ref="BK26:BY35" si="24">IFERROR(IF(SEARCH(BK$5,$D26),$F26,"-"),"x")</f>
        <v>x</v>
      </c>
      <c r="BL26" s="56" t="str">
        <f t="shared" si="24"/>
        <v>x</v>
      </c>
      <c r="BM26" s="56" t="str">
        <f t="shared" si="24"/>
        <v>x</v>
      </c>
      <c r="BN26" s="56" t="str">
        <f t="shared" si="24"/>
        <v>x</v>
      </c>
      <c r="BO26" s="56" t="str">
        <f t="shared" si="24"/>
        <v>x</v>
      </c>
      <c r="BP26" s="56" t="str">
        <f t="shared" si="24"/>
        <v>x</v>
      </c>
      <c r="BQ26" s="56" t="str">
        <f t="shared" si="24"/>
        <v>x</v>
      </c>
      <c r="BR26" s="56" t="str">
        <f t="shared" si="24"/>
        <v>x</v>
      </c>
      <c r="BS26" s="56" t="str">
        <f t="shared" si="24"/>
        <v>x</v>
      </c>
      <c r="BT26" s="56" t="str">
        <f t="shared" si="24"/>
        <v>x</v>
      </c>
      <c r="BU26" s="56" t="str">
        <f t="shared" si="24"/>
        <v>x</v>
      </c>
      <c r="BV26" s="56" t="str">
        <f t="shared" si="24"/>
        <v>x</v>
      </c>
      <c r="BW26" s="56" t="str">
        <f t="shared" si="24"/>
        <v>x</v>
      </c>
      <c r="BX26" s="56" t="str">
        <f t="shared" si="24"/>
        <v>x</v>
      </c>
      <c r="BY26" s="56" t="str">
        <f t="shared" si="24"/>
        <v>x</v>
      </c>
      <c r="BZ26" s="56" t="str">
        <f t="shared" si="23"/>
        <v>x</v>
      </c>
      <c r="CA26" s="56" t="str">
        <f t="shared" si="23"/>
        <v>x</v>
      </c>
      <c r="CB26" s="56" t="str">
        <f t="shared" si="23"/>
        <v>x</v>
      </c>
      <c r="CC26" s="56" t="str">
        <f t="shared" si="23"/>
        <v>x</v>
      </c>
      <c r="CD26" s="56" t="str">
        <f t="shared" si="23"/>
        <v>x</v>
      </c>
      <c r="CE26" s="56" t="str">
        <f t="shared" si="23"/>
        <v>x</v>
      </c>
      <c r="CF26" s="56" t="str">
        <f t="shared" si="23"/>
        <v>x</v>
      </c>
      <c r="CG26" s="56" t="str">
        <f t="shared" si="23"/>
        <v>x</v>
      </c>
      <c r="CH26" s="56" t="str">
        <f t="shared" si="23"/>
        <v>x</v>
      </c>
      <c r="CI26" s="56" t="str">
        <f t="shared" si="23"/>
        <v>x</v>
      </c>
      <c r="CJ26" s="56" t="str">
        <f t="shared" si="23"/>
        <v>x</v>
      </c>
      <c r="CK26" s="56" t="str">
        <f t="shared" si="23"/>
        <v>x</v>
      </c>
      <c r="CL26" s="56" t="str">
        <f t="shared" si="23"/>
        <v>x</v>
      </c>
      <c r="CM26" s="56" t="str">
        <f t="shared" si="23"/>
        <v>x</v>
      </c>
      <c r="CN26" s="56" t="str">
        <f t="shared" si="23"/>
        <v>x</v>
      </c>
      <c r="CO26" s="56" t="str">
        <f t="shared" si="23"/>
        <v>x</v>
      </c>
      <c r="CP26" s="56" t="str">
        <f t="shared" si="22"/>
        <v>x</v>
      </c>
      <c r="CQ26" s="56" t="str">
        <f t="shared" si="22"/>
        <v>x</v>
      </c>
      <c r="CR26" s="56" t="str">
        <f t="shared" si="22"/>
        <v>x</v>
      </c>
      <c r="CS26" s="56" t="str">
        <f t="shared" si="22"/>
        <v>x</v>
      </c>
      <c r="CT26" s="56" t="str">
        <f t="shared" si="22"/>
        <v>x</v>
      </c>
      <c r="CU26" s="56" t="str">
        <f t="shared" si="22"/>
        <v>x</v>
      </c>
      <c r="CV26" s="56" t="str">
        <f t="shared" si="17"/>
        <v>x</v>
      </c>
      <c r="CW26" s="56" t="str">
        <f t="shared" si="17"/>
        <v>x</v>
      </c>
      <c r="CX26" s="56" t="str">
        <f t="shared" si="17"/>
        <v>x</v>
      </c>
      <c r="CY26" s="56" t="str">
        <f t="shared" si="17"/>
        <v>x</v>
      </c>
      <c r="CZ26" s="56" t="str">
        <f t="shared" si="17"/>
        <v>x</v>
      </c>
      <c r="DA26" s="56" t="str">
        <f t="shared" si="17"/>
        <v>x</v>
      </c>
      <c r="DB26" s="56" t="str">
        <f t="shared" si="17"/>
        <v>x</v>
      </c>
      <c r="DC26" s="56" t="str">
        <f t="shared" si="17"/>
        <v>x</v>
      </c>
      <c r="DD26" s="56" t="str">
        <f t="shared" si="17"/>
        <v>--</v>
      </c>
      <c r="DE26" s="56" t="str">
        <f t="shared" si="17"/>
        <v>x</v>
      </c>
      <c r="DF26" s="56" t="str">
        <f t="shared" si="16"/>
        <v>x</v>
      </c>
      <c r="DG26" s="56" t="str">
        <f t="shared" si="16"/>
        <v>x</v>
      </c>
      <c r="DH26" s="56" t="str">
        <f t="shared" si="16"/>
        <v>x</v>
      </c>
      <c r="DI26" s="56" t="str">
        <f t="shared" si="16"/>
        <v>x</v>
      </c>
      <c r="DJ26" s="56" t="str">
        <f t="shared" si="16"/>
        <v>x</v>
      </c>
      <c r="DK26" s="56" t="str">
        <f t="shared" si="16"/>
        <v>x</v>
      </c>
      <c r="DL26" s="56" t="str">
        <f t="shared" si="16"/>
        <v>x</v>
      </c>
      <c r="DM26" s="56" t="str">
        <f t="shared" si="16"/>
        <v>x</v>
      </c>
      <c r="DN26" s="56" t="str">
        <f t="shared" si="16"/>
        <v>x</v>
      </c>
      <c r="DO26" s="56" t="str">
        <f t="shared" si="16"/>
        <v>x</v>
      </c>
    </row>
    <row r="27" spans="1:119" ht="68.25" customHeight="1">
      <c r="A27" s="52"/>
      <c r="B27" s="30" t="s">
        <v>124</v>
      </c>
      <c r="C27" s="29" t="s">
        <v>362</v>
      </c>
      <c r="D27" s="130" t="s">
        <v>298</v>
      </c>
      <c r="E27" s="23" t="s">
        <v>200</v>
      </c>
      <c r="F27" s="36" t="s">
        <v>3</v>
      </c>
      <c r="G27" s="37"/>
      <c r="H27" s="37">
        <v>5</v>
      </c>
      <c r="I27" s="37"/>
      <c r="J27" s="119"/>
      <c r="K27" s="56" t="str">
        <f t="shared" si="20"/>
        <v>x</v>
      </c>
      <c r="L27" s="56" t="str">
        <f t="shared" si="20"/>
        <v>x</v>
      </c>
      <c r="M27" s="56" t="str">
        <f t="shared" si="20"/>
        <v>x</v>
      </c>
      <c r="N27" s="56" t="str">
        <f t="shared" si="20"/>
        <v>x</v>
      </c>
      <c r="O27" s="56" t="str">
        <f t="shared" si="20"/>
        <v>x</v>
      </c>
      <c r="P27" s="56" t="str">
        <f t="shared" si="20"/>
        <v>x</v>
      </c>
      <c r="Q27" s="56" t="str">
        <f t="shared" si="20"/>
        <v>x</v>
      </c>
      <c r="R27" s="56" t="str">
        <f t="shared" si="20"/>
        <v>x</v>
      </c>
      <c r="S27" s="56" t="str">
        <f t="shared" si="20"/>
        <v>x</v>
      </c>
      <c r="T27" s="56" t="str">
        <f t="shared" si="20"/>
        <v>x</v>
      </c>
      <c r="U27" s="56" t="str">
        <f t="shared" si="21"/>
        <v>x</v>
      </c>
      <c r="V27" s="56" t="str">
        <f t="shared" si="21"/>
        <v>x</v>
      </c>
      <c r="W27" s="56" t="str">
        <f t="shared" si="21"/>
        <v>x</v>
      </c>
      <c r="X27" s="56" t="str">
        <f t="shared" si="21"/>
        <v>x</v>
      </c>
      <c r="Y27" s="56" t="str">
        <f t="shared" si="21"/>
        <v>x</v>
      </c>
      <c r="Z27" s="56" t="str">
        <f t="shared" si="21"/>
        <v>x</v>
      </c>
      <c r="AA27" s="56" t="str">
        <f t="shared" si="21"/>
        <v>x</v>
      </c>
      <c r="AB27" s="56" t="str">
        <f t="shared" si="21"/>
        <v>x</v>
      </c>
      <c r="AC27" s="56" t="str">
        <f t="shared" si="21"/>
        <v>x</v>
      </c>
      <c r="AD27" s="56" t="str">
        <f t="shared" si="21"/>
        <v>x</v>
      </c>
      <c r="AE27" s="56" t="str">
        <f t="shared" si="19"/>
        <v>--</v>
      </c>
      <c r="AF27" s="56" t="str">
        <f t="shared" si="19"/>
        <v>x</v>
      </c>
      <c r="AG27" s="56" t="str">
        <f t="shared" si="19"/>
        <v>x</v>
      </c>
      <c r="AH27" s="56" t="str">
        <f t="shared" si="19"/>
        <v>x</v>
      </c>
      <c r="AI27" s="56" t="str">
        <f t="shared" si="19"/>
        <v>x</v>
      </c>
      <c r="AJ27" s="56" t="str">
        <f t="shared" si="19"/>
        <v>x</v>
      </c>
      <c r="AK27" s="56" t="str">
        <f t="shared" si="19"/>
        <v>x</v>
      </c>
      <c r="AL27" s="56" t="str">
        <f t="shared" si="19"/>
        <v>x</v>
      </c>
      <c r="AM27" s="56" t="str">
        <f t="shared" si="19"/>
        <v>x</v>
      </c>
      <c r="AN27" s="56" t="str">
        <f t="shared" si="19"/>
        <v>x</v>
      </c>
      <c r="AO27" s="56" t="str">
        <f t="shared" si="19"/>
        <v>x</v>
      </c>
      <c r="AP27" s="56" t="str">
        <f t="shared" si="19"/>
        <v>x</v>
      </c>
      <c r="AQ27" s="56" t="str">
        <f t="shared" si="19"/>
        <v>x</v>
      </c>
      <c r="AR27" s="56" t="str">
        <f t="shared" si="19"/>
        <v>x</v>
      </c>
      <c r="AS27" s="56" t="str">
        <f t="shared" si="19"/>
        <v>x</v>
      </c>
      <c r="AT27" s="56" t="str">
        <f t="shared" si="18"/>
        <v>x</v>
      </c>
      <c r="AU27" s="56" t="str">
        <f t="shared" si="18"/>
        <v>x</v>
      </c>
      <c r="AV27" s="56" t="str">
        <f t="shared" si="18"/>
        <v>x</v>
      </c>
      <c r="AW27" s="56" t="str">
        <f t="shared" si="18"/>
        <v>x</v>
      </c>
      <c r="AX27" s="56" t="str">
        <f t="shared" si="18"/>
        <v>x</v>
      </c>
      <c r="AY27" s="56" t="str">
        <f t="shared" si="18"/>
        <v>x</v>
      </c>
      <c r="AZ27" s="56" t="str">
        <f t="shared" si="18"/>
        <v>x</v>
      </c>
      <c r="BA27" s="56" t="str">
        <f t="shared" si="18"/>
        <v>x</v>
      </c>
      <c r="BB27" s="56" t="str">
        <f t="shared" si="18"/>
        <v>x</v>
      </c>
      <c r="BC27" s="56" t="str">
        <f t="shared" si="14"/>
        <v>x</v>
      </c>
      <c r="BD27" s="56" t="str">
        <f t="shared" si="14"/>
        <v>x</v>
      </c>
      <c r="BE27" s="56" t="str">
        <f t="shared" si="14"/>
        <v>x</v>
      </c>
      <c r="BF27" s="56" t="str">
        <f t="shared" si="14"/>
        <v>x</v>
      </c>
      <c r="BG27" s="56" t="str">
        <f t="shared" si="14"/>
        <v>x</v>
      </c>
      <c r="BH27" s="56" t="str">
        <f t="shared" si="14"/>
        <v>x</v>
      </c>
      <c r="BI27" s="56" t="str">
        <f t="shared" si="14"/>
        <v>x</v>
      </c>
      <c r="BJ27" s="56" t="str">
        <f t="shared" si="14"/>
        <v>x</v>
      </c>
      <c r="BK27" s="56" t="str">
        <f t="shared" si="24"/>
        <v>x</v>
      </c>
      <c r="BL27" s="56" t="str">
        <f t="shared" si="24"/>
        <v>x</v>
      </c>
      <c r="BM27" s="56" t="str">
        <f t="shared" si="24"/>
        <v>x</v>
      </c>
      <c r="BN27" s="56" t="str">
        <f t="shared" si="24"/>
        <v>x</v>
      </c>
      <c r="BO27" s="56" t="str">
        <f t="shared" si="24"/>
        <v>x</v>
      </c>
      <c r="BP27" s="56" t="str">
        <f t="shared" si="24"/>
        <v>x</v>
      </c>
      <c r="BQ27" s="56" t="str">
        <f t="shared" si="24"/>
        <v>x</v>
      </c>
      <c r="BR27" s="56" t="str">
        <f t="shared" si="24"/>
        <v>x</v>
      </c>
      <c r="BS27" s="56" t="str">
        <f t="shared" si="24"/>
        <v>x</v>
      </c>
      <c r="BT27" s="56" t="str">
        <f t="shared" si="24"/>
        <v>x</v>
      </c>
      <c r="BU27" s="56" t="str">
        <f t="shared" si="24"/>
        <v>x</v>
      </c>
      <c r="BV27" s="56" t="str">
        <f t="shared" si="24"/>
        <v>x</v>
      </c>
      <c r="BW27" s="56" t="str">
        <f t="shared" si="24"/>
        <v>x</v>
      </c>
      <c r="BX27" s="56" t="str">
        <f t="shared" si="24"/>
        <v>x</v>
      </c>
      <c r="BY27" s="56" t="str">
        <f t="shared" si="24"/>
        <v>x</v>
      </c>
      <c r="BZ27" s="56" t="str">
        <f t="shared" si="23"/>
        <v>x</v>
      </c>
      <c r="CA27" s="56" t="str">
        <f t="shared" si="23"/>
        <v>x</v>
      </c>
      <c r="CB27" s="56" t="str">
        <f t="shared" si="23"/>
        <v>x</v>
      </c>
      <c r="CC27" s="56" t="str">
        <f t="shared" si="23"/>
        <v>x</v>
      </c>
      <c r="CD27" s="56" t="str">
        <f t="shared" si="23"/>
        <v>x</v>
      </c>
      <c r="CE27" s="56" t="str">
        <f t="shared" si="23"/>
        <v>x</v>
      </c>
      <c r="CF27" s="56" t="str">
        <f t="shared" si="23"/>
        <v>x</v>
      </c>
      <c r="CG27" s="56" t="str">
        <f t="shared" si="23"/>
        <v>x</v>
      </c>
      <c r="CH27" s="56" t="str">
        <f t="shared" si="23"/>
        <v>x</v>
      </c>
      <c r="CI27" s="56" t="str">
        <f t="shared" si="23"/>
        <v>x</v>
      </c>
      <c r="CJ27" s="56" t="str">
        <f t="shared" si="23"/>
        <v>x</v>
      </c>
      <c r="CK27" s="56" t="str">
        <f t="shared" si="23"/>
        <v>x</v>
      </c>
      <c r="CL27" s="56" t="str">
        <f t="shared" si="23"/>
        <v>x</v>
      </c>
      <c r="CM27" s="56" t="str">
        <f t="shared" si="23"/>
        <v>x</v>
      </c>
      <c r="CN27" s="56" t="str">
        <f t="shared" si="23"/>
        <v>x</v>
      </c>
      <c r="CO27" s="56" t="str">
        <f t="shared" si="23"/>
        <v>x</v>
      </c>
      <c r="CP27" s="56" t="str">
        <f t="shared" si="22"/>
        <v>x</v>
      </c>
      <c r="CQ27" s="56" t="str">
        <f t="shared" si="22"/>
        <v>x</v>
      </c>
      <c r="CR27" s="56" t="str">
        <f t="shared" si="22"/>
        <v>x</v>
      </c>
      <c r="CS27" s="56" t="str">
        <f t="shared" si="22"/>
        <v>x</v>
      </c>
      <c r="CT27" s="56" t="str">
        <f t="shared" si="22"/>
        <v>x</v>
      </c>
      <c r="CU27" s="56" t="str">
        <f t="shared" si="22"/>
        <v>x</v>
      </c>
      <c r="CV27" s="56" t="str">
        <f t="shared" si="17"/>
        <v>x</v>
      </c>
      <c r="CW27" s="56" t="str">
        <f t="shared" si="17"/>
        <v>x</v>
      </c>
      <c r="CX27" s="56" t="str">
        <f t="shared" si="17"/>
        <v>x</v>
      </c>
      <c r="CY27" s="56" t="str">
        <f t="shared" si="17"/>
        <v>x</v>
      </c>
      <c r="CZ27" s="56" t="str">
        <f t="shared" si="17"/>
        <v>x</v>
      </c>
      <c r="DA27" s="56" t="str">
        <f t="shared" si="17"/>
        <v>x</v>
      </c>
      <c r="DB27" s="56" t="str">
        <f t="shared" si="17"/>
        <v>x</v>
      </c>
      <c r="DC27" s="56" t="str">
        <f t="shared" si="17"/>
        <v>x</v>
      </c>
      <c r="DD27" s="56" t="str">
        <f t="shared" si="17"/>
        <v>x</v>
      </c>
      <c r="DE27" s="56" t="str">
        <f t="shared" si="17"/>
        <v>x</v>
      </c>
      <c r="DF27" s="56" t="str">
        <f t="shared" si="16"/>
        <v>x</v>
      </c>
      <c r="DG27" s="56" t="str">
        <f t="shared" si="16"/>
        <v>x</v>
      </c>
      <c r="DH27" s="56" t="str">
        <f t="shared" si="16"/>
        <v>x</v>
      </c>
      <c r="DI27" s="56" t="str">
        <f t="shared" si="16"/>
        <v>x</v>
      </c>
      <c r="DJ27" s="56" t="str">
        <f t="shared" si="16"/>
        <v>x</v>
      </c>
      <c r="DK27" s="56" t="str">
        <f t="shared" si="16"/>
        <v>x</v>
      </c>
      <c r="DL27" s="56" t="str">
        <f t="shared" si="16"/>
        <v>--</v>
      </c>
      <c r="DM27" s="56" t="str">
        <f t="shared" si="16"/>
        <v>x</v>
      </c>
      <c r="DN27" s="56" t="str">
        <f t="shared" si="16"/>
        <v>x</v>
      </c>
      <c r="DO27" s="56" t="str">
        <f t="shared" si="16"/>
        <v>x</v>
      </c>
    </row>
    <row r="28" spans="1:119" ht="45.75" customHeight="1">
      <c r="A28" s="52"/>
      <c r="B28" s="30" t="s">
        <v>125</v>
      </c>
      <c r="C28" s="29" t="s">
        <v>363</v>
      </c>
      <c r="D28" s="130" t="s">
        <v>235</v>
      </c>
      <c r="E28" s="23" t="s">
        <v>195</v>
      </c>
      <c r="F28" s="36" t="s">
        <v>3</v>
      </c>
      <c r="G28" s="37"/>
      <c r="H28" s="37">
        <v>5</v>
      </c>
      <c r="I28" s="37"/>
      <c r="J28" s="119"/>
      <c r="K28" s="56" t="str">
        <f t="shared" si="20"/>
        <v>x</v>
      </c>
      <c r="L28" s="56" t="str">
        <f t="shared" si="20"/>
        <v>x</v>
      </c>
      <c r="M28" s="56" t="str">
        <f t="shared" si="20"/>
        <v>x</v>
      </c>
      <c r="N28" s="56" t="str">
        <f t="shared" si="20"/>
        <v>x</v>
      </c>
      <c r="O28" s="56" t="str">
        <f t="shared" si="20"/>
        <v>x</v>
      </c>
      <c r="P28" s="56" t="str">
        <f t="shared" si="20"/>
        <v>x</v>
      </c>
      <c r="Q28" s="56" t="str">
        <f t="shared" si="20"/>
        <v>x</v>
      </c>
      <c r="R28" s="56" t="str">
        <f t="shared" si="20"/>
        <v>x</v>
      </c>
      <c r="S28" s="56" t="str">
        <f t="shared" si="20"/>
        <v>x</v>
      </c>
      <c r="T28" s="56" t="str">
        <f t="shared" si="20"/>
        <v>x</v>
      </c>
      <c r="U28" s="56" t="str">
        <f t="shared" si="21"/>
        <v>x</v>
      </c>
      <c r="V28" s="56" t="str">
        <f t="shared" si="21"/>
        <v>x</v>
      </c>
      <c r="W28" s="56" t="str">
        <f t="shared" si="21"/>
        <v>x</v>
      </c>
      <c r="X28" s="56" t="str">
        <f t="shared" si="21"/>
        <v>x</v>
      </c>
      <c r="Y28" s="56" t="str">
        <f t="shared" si="21"/>
        <v>x</v>
      </c>
      <c r="Z28" s="56" t="str">
        <f t="shared" si="21"/>
        <v>x</v>
      </c>
      <c r="AA28" s="56" t="str">
        <f t="shared" si="21"/>
        <v>x</v>
      </c>
      <c r="AB28" s="56" t="str">
        <f t="shared" si="21"/>
        <v>x</v>
      </c>
      <c r="AC28" s="56" t="str">
        <f t="shared" si="21"/>
        <v>x</v>
      </c>
      <c r="AD28" s="56" t="str">
        <f t="shared" si="21"/>
        <v>x</v>
      </c>
      <c r="AE28" s="56" t="str">
        <f t="shared" si="19"/>
        <v>x</v>
      </c>
      <c r="AF28" s="56" t="str">
        <f t="shared" si="19"/>
        <v>--</v>
      </c>
      <c r="AG28" s="56" t="str">
        <f t="shared" si="19"/>
        <v>x</v>
      </c>
      <c r="AH28" s="56" t="str">
        <f t="shared" si="19"/>
        <v>x</v>
      </c>
      <c r="AI28" s="56" t="str">
        <f t="shared" si="19"/>
        <v>x</v>
      </c>
      <c r="AJ28" s="56" t="str">
        <f t="shared" si="19"/>
        <v>x</v>
      </c>
      <c r="AK28" s="56" t="str">
        <f t="shared" si="19"/>
        <v>x</v>
      </c>
      <c r="AL28" s="56" t="str">
        <f t="shared" si="19"/>
        <v>x</v>
      </c>
      <c r="AM28" s="56" t="str">
        <f t="shared" si="19"/>
        <v>x</v>
      </c>
      <c r="AN28" s="56" t="str">
        <f t="shared" si="19"/>
        <v>x</v>
      </c>
      <c r="AO28" s="56" t="str">
        <f t="shared" si="19"/>
        <v>x</v>
      </c>
      <c r="AP28" s="56" t="str">
        <f t="shared" si="19"/>
        <v>x</v>
      </c>
      <c r="AQ28" s="56" t="str">
        <f t="shared" si="19"/>
        <v>x</v>
      </c>
      <c r="AR28" s="56" t="str">
        <f t="shared" si="19"/>
        <v>x</v>
      </c>
      <c r="AS28" s="56" t="str">
        <f t="shared" si="19"/>
        <v>x</v>
      </c>
      <c r="AT28" s="56" t="str">
        <f t="shared" si="18"/>
        <v>x</v>
      </c>
      <c r="AU28" s="56" t="str">
        <f t="shared" si="18"/>
        <v>x</v>
      </c>
      <c r="AV28" s="56" t="str">
        <f t="shared" si="18"/>
        <v>x</v>
      </c>
      <c r="AW28" s="56" t="str">
        <f t="shared" si="18"/>
        <v>x</v>
      </c>
      <c r="AX28" s="56" t="str">
        <f t="shared" si="18"/>
        <v>x</v>
      </c>
      <c r="AY28" s="56" t="str">
        <f t="shared" si="18"/>
        <v>x</v>
      </c>
      <c r="AZ28" s="56" t="str">
        <f t="shared" si="18"/>
        <v>x</v>
      </c>
      <c r="BA28" s="56" t="str">
        <f t="shared" si="18"/>
        <v>x</v>
      </c>
      <c r="BB28" s="56" t="str">
        <f t="shared" si="18"/>
        <v>x</v>
      </c>
      <c r="BC28" s="56" t="str">
        <f t="shared" si="14"/>
        <v>x</v>
      </c>
      <c r="BD28" s="56" t="str">
        <f t="shared" si="14"/>
        <v>x</v>
      </c>
      <c r="BE28" s="56" t="str">
        <f t="shared" si="14"/>
        <v>x</v>
      </c>
      <c r="BF28" s="56" t="str">
        <f t="shared" si="14"/>
        <v>x</v>
      </c>
      <c r="BG28" s="56" t="str">
        <f t="shared" si="14"/>
        <v>x</v>
      </c>
      <c r="BH28" s="56" t="str">
        <f t="shared" si="14"/>
        <v>x</v>
      </c>
      <c r="BI28" s="56" t="str">
        <f t="shared" si="14"/>
        <v>x</v>
      </c>
      <c r="BJ28" s="56" t="str">
        <f t="shared" si="14"/>
        <v>x</v>
      </c>
      <c r="BK28" s="56" t="str">
        <f t="shared" si="24"/>
        <v>x</v>
      </c>
      <c r="BL28" s="56" t="str">
        <f t="shared" si="24"/>
        <v>x</v>
      </c>
      <c r="BM28" s="56" t="str">
        <f t="shared" si="24"/>
        <v>x</v>
      </c>
      <c r="BN28" s="56" t="str">
        <f t="shared" si="24"/>
        <v>x</v>
      </c>
      <c r="BO28" s="56" t="str">
        <f t="shared" si="24"/>
        <v>x</v>
      </c>
      <c r="BP28" s="56" t="str">
        <f t="shared" si="24"/>
        <v>x</v>
      </c>
      <c r="BQ28" s="56" t="str">
        <f t="shared" si="24"/>
        <v>x</v>
      </c>
      <c r="BR28" s="56" t="str">
        <f t="shared" si="24"/>
        <v>x</v>
      </c>
      <c r="BS28" s="56" t="str">
        <f t="shared" si="24"/>
        <v>x</v>
      </c>
      <c r="BT28" s="56" t="str">
        <f t="shared" si="24"/>
        <v>x</v>
      </c>
      <c r="BU28" s="56" t="str">
        <f t="shared" si="24"/>
        <v>x</v>
      </c>
      <c r="BV28" s="56" t="str">
        <f t="shared" si="24"/>
        <v>x</v>
      </c>
      <c r="BW28" s="56" t="str">
        <f t="shared" si="24"/>
        <v>x</v>
      </c>
      <c r="BX28" s="56" t="str">
        <f t="shared" si="24"/>
        <v>x</v>
      </c>
      <c r="BY28" s="56" t="str">
        <f t="shared" si="24"/>
        <v>x</v>
      </c>
      <c r="BZ28" s="56" t="str">
        <f t="shared" si="23"/>
        <v>x</v>
      </c>
      <c r="CA28" s="56" t="str">
        <f t="shared" si="23"/>
        <v>x</v>
      </c>
      <c r="CB28" s="56" t="str">
        <f t="shared" si="23"/>
        <v>x</v>
      </c>
      <c r="CC28" s="56" t="str">
        <f t="shared" si="23"/>
        <v>x</v>
      </c>
      <c r="CD28" s="56" t="str">
        <f t="shared" si="23"/>
        <v>x</v>
      </c>
      <c r="CE28" s="56" t="str">
        <f t="shared" si="23"/>
        <v>x</v>
      </c>
      <c r="CF28" s="56" t="str">
        <f t="shared" si="23"/>
        <v>x</v>
      </c>
      <c r="CG28" s="56" t="str">
        <f t="shared" si="23"/>
        <v>x</v>
      </c>
      <c r="CH28" s="56" t="str">
        <f t="shared" si="23"/>
        <v>x</v>
      </c>
      <c r="CI28" s="56" t="str">
        <f t="shared" si="23"/>
        <v>x</v>
      </c>
      <c r="CJ28" s="56" t="str">
        <f t="shared" si="23"/>
        <v>x</v>
      </c>
      <c r="CK28" s="56" t="str">
        <f t="shared" si="23"/>
        <v>x</v>
      </c>
      <c r="CL28" s="56" t="str">
        <f t="shared" si="23"/>
        <v>x</v>
      </c>
      <c r="CM28" s="56" t="str">
        <f t="shared" si="23"/>
        <v>x</v>
      </c>
      <c r="CN28" s="56" t="str">
        <f t="shared" si="23"/>
        <v>x</v>
      </c>
      <c r="CO28" s="56" t="str">
        <f t="shared" si="23"/>
        <v>x</v>
      </c>
      <c r="CP28" s="56" t="str">
        <f t="shared" si="22"/>
        <v>x</v>
      </c>
      <c r="CQ28" s="56" t="str">
        <f t="shared" si="22"/>
        <v>x</v>
      </c>
      <c r="CR28" s="56" t="str">
        <f t="shared" si="22"/>
        <v>x</v>
      </c>
      <c r="CS28" s="56" t="str">
        <f t="shared" si="22"/>
        <v>x</v>
      </c>
      <c r="CT28" s="56" t="str">
        <f t="shared" si="22"/>
        <v>x</v>
      </c>
      <c r="CU28" s="56" t="str">
        <f t="shared" si="22"/>
        <v>x</v>
      </c>
      <c r="CV28" s="56" t="str">
        <f t="shared" si="17"/>
        <v>x</v>
      </c>
      <c r="CW28" s="56" t="str">
        <f t="shared" si="17"/>
        <v>x</v>
      </c>
      <c r="CX28" s="56" t="str">
        <f t="shared" si="17"/>
        <v>x</v>
      </c>
      <c r="CY28" s="56" t="str">
        <f t="shared" si="17"/>
        <v>x</v>
      </c>
      <c r="CZ28" s="56" t="str">
        <f t="shared" si="17"/>
        <v>x</v>
      </c>
      <c r="DA28" s="56" t="str">
        <f t="shared" si="17"/>
        <v>x</v>
      </c>
      <c r="DB28" s="56" t="str">
        <f t="shared" si="17"/>
        <v>x</v>
      </c>
      <c r="DC28" s="56" t="str">
        <f t="shared" si="17"/>
        <v>x</v>
      </c>
      <c r="DD28" s="56" t="str">
        <f t="shared" si="17"/>
        <v>x</v>
      </c>
      <c r="DE28" s="56" t="str">
        <f t="shared" si="17"/>
        <v>x</v>
      </c>
      <c r="DF28" s="56" t="str">
        <f t="shared" si="16"/>
        <v>x</v>
      </c>
      <c r="DG28" s="56" t="str">
        <f t="shared" si="16"/>
        <v>--</v>
      </c>
      <c r="DH28" s="56" t="str">
        <f t="shared" si="16"/>
        <v>x</v>
      </c>
      <c r="DI28" s="56" t="str">
        <f t="shared" si="16"/>
        <v>x</v>
      </c>
      <c r="DJ28" s="56" t="str">
        <f t="shared" si="16"/>
        <v>x</v>
      </c>
      <c r="DK28" s="56" t="str">
        <f t="shared" si="16"/>
        <v>x</v>
      </c>
      <c r="DL28" s="56" t="str">
        <f t="shared" si="16"/>
        <v>x</v>
      </c>
      <c r="DM28" s="56" t="str">
        <f t="shared" si="16"/>
        <v>x</v>
      </c>
      <c r="DN28" s="56" t="str">
        <f t="shared" si="16"/>
        <v>x</v>
      </c>
      <c r="DO28" s="56" t="str">
        <f t="shared" si="16"/>
        <v>x</v>
      </c>
    </row>
    <row r="29" spans="1:119" s="15" customFormat="1" ht="49.5" customHeight="1">
      <c r="A29" s="52"/>
      <c r="B29" s="30" t="s">
        <v>126</v>
      </c>
      <c r="C29" s="29" t="s">
        <v>364</v>
      </c>
      <c r="D29" s="130" t="s">
        <v>236</v>
      </c>
      <c r="E29" s="24" t="s">
        <v>197</v>
      </c>
      <c r="F29" s="36" t="s">
        <v>3</v>
      </c>
      <c r="G29" s="37"/>
      <c r="H29" s="37">
        <v>5</v>
      </c>
      <c r="I29" s="37"/>
      <c r="J29" s="119"/>
      <c r="K29" s="56" t="str">
        <f t="shared" si="20"/>
        <v>x</v>
      </c>
      <c r="L29" s="56" t="str">
        <f t="shared" si="20"/>
        <v>x</v>
      </c>
      <c r="M29" s="56" t="str">
        <f t="shared" si="20"/>
        <v>x</v>
      </c>
      <c r="N29" s="56" t="str">
        <f t="shared" si="20"/>
        <v>x</v>
      </c>
      <c r="O29" s="56" t="str">
        <f t="shared" si="20"/>
        <v>x</v>
      </c>
      <c r="P29" s="56" t="str">
        <f t="shared" si="20"/>
        <v>x</v>
      </c>
      <c r="Q29" s="56" t="str">
        <f t="shared" si="20"/>
        <v>x</v>
      </c>
      <c r="R29" s="56" t="str">
        <f t="shared" si="20"/>
        <v>x</v>
      </c>
      <c r="S29" s="56" t="str">
        <f t="shared" si="20"/>
        <v>x</v>
      </c>
      <c r="T29" s="56" t="str">
        <f t="shared" si="20"/>
        <v>x</v>
      </c>
      <c r="U29" s="56" t="str">
        <f t="shared" si="21"/>
        <v>x</v>
      </c>
      <c r="V29" s="56" t="str">
        <f t="shared" si="21"/>
        <v>x</v>
      </c>
      <c r="W29" s="56" t="str">
        <f t="shared" si="21"/>
        <v>x</v>
      </c>
      <c r="X29" s="56" t="str">
        <f t="shared" si="21"/>
        <v>x</v>
      </c>
      <c r="Y29" s="56" t="str">
        <f t="shared" si="21"/>
        <v>x</v>
      </c>
      <c r="Z29" s="56" t="str">
        <f t="shared" si="21"/>
        <v>x</v>
      </c>
      <c r="AA29" s="56" t="str">
        <f t="shared" si="21"/>
        <v>x</v>
      </c>
      <c r="AB29" s="56" t="str">
        <f t="shared" si="21"/>
        <v>x</v>
      </c>
      <c r="AC29" s="56" t="str">
        <f t="shared" si="21"/>
        <v>x</v>
      </c>
      <c r="AD29" s="56" t="str">
        <f t="shared" si="21"/>
        <v>x</v>
      </c>
      <c r="AE29" s="56" t="str">
        <f t="shared" si="19"/>
        <v>x</v>
      </c>
      <c r="AF29" s="56" t="str">
        <f t="shared" si="19"/>
        <v>x</v>
      </c>
      <c r="AG29" s="56" t="str">
        <f t="shared" si="19"/>
        <v>--</v>
      </c>
      <c r="AH29" s="56" t="str">
        <f t="shared" si="19"/>
        <v>x</v>
      </c>
      <c r="AI29" s="56" t="str">
        <f t="shared" si="19"/>
        <v>x</v>
      </c>
      <c r="AJ29" s="56" t="str">
        <f t="shared" si="19"/>
        <v>x</v>
      </c>
      <c r="AK29" s="56" t="str">
        <f t="shared" si="19"/>
        <v>x</v>
      </c>
      <c r="AL29" s="56" t="str">
        <f t="shared" si="19"/>
        <v>x</v>
      </c>
      <c r="AM29" s="56" t="str">
        <f t="shared" si="19"/>
        <v>x</v>
      </c>
      <c r="AN29" s="56" t="str">
        <f t="shared" si="19"/>
        <v>x</v>
      </c>
      <c r="AO29" s="56" t="str">
        <f t="shared" si="19"/>
        <v>x</v>
      </c>
      <c r="AP29" s="56" t="str">
        <f t="shared" si="19"/>
        <v>x</v>
      </c>
      <c r="AQ29" s="56" t="str">
        <f t="shared" si="19"/>
        <v>x</v>
      </c>
      <c r="AR29" s="56" t="str">
        <f t="shared" si="19"/>
        <v>x</v>
      </c>
      <c r="AS29" s="56" t="str">
        <f t="shared" si="19"/>
        <v>x</v>
      </c>
      <c r="AT29" s="56" t="str">
        <f t="shared" si="18"/>
        <v>x</v>
      </c>
      <c r="AU29" s="56" t="str">
        <f t="shared" si="18"/>
        <v>x</v>
      </c>
      <c r="AV29" s="56" t="str">
        <f t="shared" si="18"/>
        <v>x</v>
      </c>
      <c r="AW29" s="56" t="str">
        <f t="shared" si="18"/>
        <v>x</v>
      </c>
      <c r="AX29" s="56" t="str">
        <f t="shared" si="18"/>
        <v>x</v>
      </c>
      <c r="AY29" s="56" t="str">
        <f t="shared" si="18"/>
        <v>x</v>
      </c>
      <c r="AZ29" s="56" t="str">
        <f t="shared" si="18"/>
        <v>x</v>
      </c>
      <c r="BA29" s="56" t="str">
        <f t="shared" si="18"/>
        <v>x</v>
      </c>
      <c r="BB29" s="56" t="str">
        <f t="shared" si="18"/>
        <v>x</v>
      </c>
      <c r="BC29" s="56" t="str">
        <f t="shared" si="14"/>
        <v>x</v>
      </c>
      <c r="BD29" s="56" t="str">
        <f t="shared" si="14"/>
        <v>x</v>
      </c>
      <c r="BE29" s="56" t="str">
        <f t="shared" si="14"/>
        <v>x</v>
      </c>
      <c r="BF29" s="56" t="str">
        <f t="shared" si="14"/>
        <v>x</v>
      </c>
      <c r="BG29" s="56" t="str">
        <f t="shared" si="14"/>
        <v>x</v>
      </c>
      <c r="BH29" s="56" t="str">
        <f t="shared" si="14"/>
        <v>x</v>
      </c>
      <c r="BI29" s="56" t="str">
        <f t="shared" si="14"/>
        <v>x</v>
      </c>
      <c r="BJ29" s="56" t="str">
        <f t="shared" si="14"/>
        <v>x</v>
      </c>
      <c r="BK29" s="56" t="str">
        <f t="shared" si="24"/>
        <v>x</v>
      </c>
      <c r="BL29" s="56" t="str">
        <f t="shared" si="24"/>
        <v>x</v>
      </c>
      <c r="BM29" s="56" t="str">
        <f t="shared" si="24"/>
        <v>x</v>
      </c>
      <c r="BN29" s="56" t="str">
        <f t="shared" si="24"/>
        <v>x</v>
      </c>
      <c r="BO29" s="56" t="str">
        <f t="shared" si="24"/>
        <v>x</v>
      </c>
      <c r="BP29" s="56" t="str">
        <f t="shared" si="24"/>
        <v>x</v>
      </c>
      <c r="BQ29" s="56" t="str">
        <f t="shared" si="24"/>
        <v>x</v>
      </c>
      <c r="BR29" s="56" t="str">
        <f t="shared" si="24"/>
        <v>x</v>
      </c>
      <c r="BS29" s="56" t="str">
        <f t="shared" si="24"/>
        <v>x</v>
      </c>
      <c r="BT29" s="56" t="str">
        <f t="shared" si="24"/>
        <v>x</v>
      </c>
      <c r="BU29" s="56" t="str">
        <f t="shared" si="24"/>
        <v>x</v>
      </c>
      <c r="BV29" s="56" t="str">
        <f t="shared" si="24"/>
        <v>x</v>
      </c>
      <c r="BW29" s="56" t="str">
        <f t="shared" si="24"/>
        <v>x</v>
      </c>
      <c r="BX29" s="56" t="str">
        <f t="shared" si="24"/>
        <v>x</v>
      </c>
      <c r="BY29" s="56" t="str">
        <f t="shared" si="24"/>
        <v>x</v>
      </c>
      <c r="BZ29" s="56" t="str">
        <f t="shared" si="23"/>
        <v>x</v>
      </c>
      <c r="CA29" s="56" t="str">
        <f t="shared" si="23"/>
        <v>x</v>
      </c>
      <c r="CB29" s="56" t="str">
        <f t="shared" si="23"/>
        <v>x</v>
      </c>
      <c r="CC29" s="56" t="str">
        <f t="shared" si="23"/>
        <v>x</v>
      </c>
      <c r="CD29" s="56" t="str">
        <f t="shared" si="23"/>
        <v>x</v>
      </c>
      <c r="CE29" s="56" t="str">
        <f t="shared" si="23"/>
        <v>x</v>
      </c>
      <c r="CF29" s="56" t="str">
        <f t="shared" si="23"/>
        <v>x</v>
      </c>
      <c r="CG29" s="56" t="str">
        <f t="shared" si="23"/>
        <v>x</v>
      </c>
      <c r="CH29" s="56" t="str">
        <f t="shared" si="23"/>
        <v>x</v>
      </c>
      <c r="CI29" s="56" t="str">
        <f t="shared" si="23"/>
        <v>x</v>
      </c>
      <c r="CJ29" s="56" t="str">
        <f t="shared" si="23"/>
        <v>x</v>
      </c>
      <c r="CK29" s="56" t="str">
        <f t="shared" si="23"/>
        <v>x</v>
      </c>
      <c r="CL29" s="56" t="str">
        <f t="shared" si="23"/>
        <v>x</v>
      </c>
      <c r="CM29" s="56" t="str">
        <f t="shared" si="23"/>
        <v>x</v>
      </c>
      <c r="CN29" s="56" t="str">
        <f t="shared" si="23"/>
        <v>x</v>
      </c>
      <c r="CO29" s="56" t="str">
        <f t="shared" si="23"/>
        <v>x</v>
      </c>
      <c r="CP29" s="56" t="str">
        <f t="shared" si="22"/>
        <v>x</v>
      </c>
      <c r="CQ29" s="56" t="str">
        <f t="shared" si="22"/>
        <v>x</v>
      </c>
      <c r="CR29" s="56" t="str">
        <f t="shared" si="22"/>
        <v>x</v>
      </c>
      <c r="CS29" s="56" t="str">
        <f t="shared" si="22"/>
        <v>x</v>
      </c>
      <c r="CT29" s="56" t="str">
        <f t="shared" si="22"/>
        <v>x</v>
      </c>
      <c r="CU29" s="56" t="str">
        <f t="shared" si="22"/>
        <v>x</v>
      </c>
      <c r="CV29" s="56" t="str">
        <f t="shared" si="17"/>
        <v>x</v>
      </c>
      <c r="CW29" s="56" t="str">
        <f t="shared" si="17"/>
        <v>x</v>
      </c>
      <c r="CX29" s="56" t="str">
        <f t="shared" si="17"/>
        <v>x</v>
      </c>
      <c r="CY29" s="56" t="str">
        <f t="shared" si="17"/>
        <v>x</v>
      </c>
      <c r="CZ29" s="56" t="str">
        <f t="shared" si="17"/>
        <v>x</v>
      </c>
      <c r="DA29" s="56" t="str">
        <f t="shared" si="17"/>
        <v>x</v>
      </c>
      <c r="DB29" s="56" t="str">
        <f t="shared" si="17"/>
        <v>x</v>
      </c>
      <c r="DC29" s="56" t="str">
        <f t="shared" si="17"/>
        <v>x</v>
      </c>
      <c r="DD29" s="56" t="str">
        <f t="shared" si="17"/>
        <v>x</v>
      </c>
      <c r="DE29" s="56" t="str">
        <f t="shared" si="17"/>
        <v>x</v>
      </c>
      <c r="DF29" s="56" t="str">
        <f t="shared" si="16"/>
        <v>x</v>
      </c>
      <c r="DG29" s="56" t="str">
        <f t="shared" si="16"/>
        <v>x</v>
      </c>
      <c r="DH29" s="56" t="str">
        <f t="shared" si="16"/>
        <v>x</v>
      </c>
      <c r="DI29" s="56" t="str">
        <f t="shared" si="16"/>
        <v>--</v>
      </c>
      <c r="DJ29" s="56" t="str">
        <f t="shared" si="16"/>
        <v>x</v>
      </c>
      <c r="DK29" s="56" t="str">
        <f t="shared" si="16"/>
        <v>x</v>
      </c>
      <c r="DL29" s="56" t="str">
        <f t="shared" si="16"/>
        <v>x</v>
      </c>
      <c r="DM29" s="56" t="str">
        <f t="shared" si="16"/>
        <v>x</v>
      </c>
      <c r="DN29" s="56" t="str">
        <f t="shared" si="16"/>
        <v>x</v>
      </c>
      <c r="DO29" s="56" t="str">
        <f t="shared" si="16"/>
        <v>x</v>
      </c>
    </row>
    <row r="30" spans="1:119" s="15" customFormat="1" ht="43.2">
      <c r="A30" s="52"/>
      <c r="B30" s="30" t="s">
        <v>127</v>
      </c>
      <c r="C30" s="29" t="s">
        <v>365</v>
      </c>
      <c r="D30" s="130" t="s">
        <v>237</v>
      </c>
      <c r="E30" s="23" t="s">
        <v>198</v>
      </c>
      <c r="F30" s="36" t="s">
        <v>3</v>
      </c>
      <c r="G30" s="37"/>
      <c r="H30" s="37">
        <v>5</v>
      </c>
      <c r="I30" s="37"/>
      <c r="J30" s="119"/>
      <c r="K30" s="56" t="str">
        <f t="shared" si="20"/>
        <v>x</v>
      </c>
      <c r="L30" s="56" t="str">
        <f t="shared" si="20"/>
        <v>x</v>
      </c>
      <c r="M30" s="56" t="str">
        <f t="shared" si="20"/>
        <v>x</v>
      </c>
      <c r="N30" s="56" t="str">
        <f t="shared" si="20"/>
        <v>x</v>
      </c>
      <c r="O30" s="56" t="str">
        <f t="shared" si="20"/>
        <v>x</v>
      </c>
      <c r="P30" s="56" t="str">
        <f t="shared" si="20"/>
        <v>x</v>
      </c>
      <c r="Q30" s="56" t="str">
        <f t="shared" si="20"/>
        <v>x</v>
      </c>
      <c r="R30" s="56" t="str">
        <f t="shared" si="20"/>
        <v>x</v>
      </c>
      <c r="S30" s="56" t="str">
        <f t="shared" si="20"/>
        <v>x</v>
      </c>
      <c r="T30" s="56" t="str">
        <f t="shared" si="20"/>
        <v>x</v>
      </c>
      <c r="U30" s="56" t="str">
        <f t="shared" si="21"/>
        <v>x</v>
      </c>
      <c r="V30" s="56" t="str">
        <f t="shared" si="21"/>
        <v>x</v>
      </c>
      <c r="W30" s="56" t="str">
        <f t="shared" si="21"/>
        <v>x</v>
      </c>
      <c r="X30" s="56" t="str">
        <f t="shared" si="21"/>
        <v>x</v>
      </c>
      <c r="Y30" s="56" t="str">
        <f t="shared" si="21"/>
        <v>x</v>
      </c>
      <c r="Z30" s="56" t="str">
        <f t="shared" si="21"/>
        <v>x</v>
      </c>
      <c r="AA30" s="56" t="str">
        <f t="shared" si="21"/>
        <v>x</v>
      </c>
      <c r="AB30" s="56" t="str">
        <f t="shared" si="21"/>
        <v>x</v>
      </c>
      <c r="AC30" s="56" t="str">
        <f t="shared" si="21"/>
        <v>x</v>
      </c>
      <c r="AD30" s="56" t="str">
        <f t="shared" si="21"/>
        <v>x</v>
      </c>
      <c r="AE30" s="56" t="str">
        <f t="shared" si="21"/>
        <v>x</v>
      </c>
      <c r="AF30" s="56" t="str">
        <f t="shared" si="21"/>
        <v>x</v>
      </c>
      <c r="AG30" s="56" t="str">
        <f t="shared" si="21"/>
        <v>x</v>
      </c>
      <c r="AH30" s="56" t="str">
        <f t="shared" si="21"/>
        <v>--</v>
      </c>
      <c r="AI30" s="56" t="str">
        <f t="shared" si="21"/>
        <v>x</v>
      </c>
      <c r="AJ30" s="56" t="str">
        <f t="shared" si="21"/>
        <v>x</v>
      </c>
      <c r="AK30" s="56" t="str">
        <f t="shared" ref="AK30:AS30" si="25">IFERROR(IF(SEARCH(AK$5,$D30),$F30,"-"),"x")</f>
        <v>x</v>
      </c>
      <c r="AL30" s="56" t="str">
        <f t="shared" si="25"/>
        <v>x</v>
      </c>
      <c r="AM30" s="56" t="str">
        <f t="shared" si="25"/>
        <v>x</v>
      </c>
      <c r="AN30" s="56" t="str">
        <f t="shared" si="25"/>
        <v>x</v>
      </c>
      <c r="AO30" s="56" t="str">
        <f t="shared" si="25"/>
        <v>x</v>
      </c>
      <c r="AP30" s="56" t="str">
        <f t="shared" si="25"/>
        <v>x</v>
      </c>
      <c r="AQ30" s="56" t="str">
        <f t="shared" si="25"/>
        <v>x</v>
      </c>
      <c r="AR30" s="56" t="str">
        <f t="shared" si="25"/>
        <v>x</v>
      </c>
      <c r="AS30" s="56" t="str">
        <f t="shared" si="25"/>
        <v>x</v>
      </c>
      <c r="AT30" s="56" t="str">
        <f t="shared" si="18"/>
        <v>x</v>
      </c>
      <c r="AU30" s="56" t="str">
        <f t="shared" si="18"/>
        <v>x</v>
      </c>
      <c r="AV30" s="56" t="str">
        <f t="shared" si="18"/>
        <v>x</v>
      </c>
      <c r="AW30" s="56" t="str">
        <f t="shared" si="18"/>
        <v>x</v>
      </c>
      <c r="AX30" s="56" t="str">
        <f t="shared" si="18"/>
        <v>x</v>
      </c>
      <c r="AY30" s="56" t="str">
        <f t="shared" si="18"/>
        <v>x</v>
      </c>
      <c r="AZ30" s="56" t="str">
        <f t="shared" si="18"/>
        <v>x</v>
      </c>
      <c r="BA30" s="56" t="str">
        <f t="shared" si="18"/>
        <v>x</v>
      </c>
      <c r="BB30" s="56" t="str">
        <f t="shared" si="18"/>
        <v>x</v>
      </c>
      <c r="BC30" s="56" t="str">
        <f t="shared" ref="BC30:BJ30" si="26">IFERROR(IF(SEARCH(BC$5,$D30),$F30,"-"),"x")</f>
        <v>x</v>
      </c>
      <c r="BD30" s="56" t="str">
        <f t="shared" si="26"/>
        <v>x</v>
      </c>
      <c r="BE30" s="56" t="str">
        <f t="shared" si="26"/>
        <v>x</v>
      </c>
      <c r="BF30" s="56" t="str">
        <f t="shared" si="26"/>
        <v>x</v>
      </c>
      <c r="BG30" s="56" t="str">
        <f t="shared" si="26"/>
        <v>x</v>
      </c>
      <c r="BH30" s="56" t="str">
        <f t="shared" si="26"/>
        <v>x</v>
      </c>
      <c r="BI30" s="56" t="str">
        <f t="shared" si="26"/>
        <v>x</v>
      </c>
      <c r="BJ30" s="56" t="str">
        <f t="shared" si="26"/>
        <v>x</v>
      </c>
      <c r="BK30" s="56" t="str">
        <f t="shared" si="24"/>
        <v>x</v>
      </c>
      <c r="BL30" s="56" t="str">
        <f t="shared" si="24"/>
        <v>x</v>
      </c>
      <c r="BM30" s="56" t="str">
        <f t="shared" si="24"/>
        <v>x</v>
      </c>
      <c r="BN30" s="56" t="str">
        <f t="shared" si="24"/>
        <v>x</v>
      </c>
      <c r="BO30" s="56" t="str">
        <f t="shared" si="24"/>
        <v>x</v>
      </c>
      <c r="BP30" s="56" t="str">
        <f t="shared" si="24"/>
        <v>x</v>
      </c>
      <c r="BQ30" s="56" t="str">
        <f t="shared" si="24"/>
        <v>x</v>
      </c>
      <c r="BR30" s="56" t="str">
        <f t="shared" si="24"/>
        <v>x</v>
      </c>
      <c r="BS30" s="56" t="str">
        <f t="shared" si="24"/>
        <v>x</v>
      </c>
      <c r="BT30" s="56" t="str">
        <f t="shared" si="24"/>
        <v>x</v>
      </c>
      <c r="BU30" s="56" t="str">
        <f t="shared" si="24"/>
        <v>x</v>
      </c>
      <c r="BV30" s="56" t="str">
        <f t="shared" si="24"/>
        <v>x</v>
      </c>
      <c r="BW30" s="56" t="str">
        <f t="shared" si="24"/>
        <v>x</v>
      </c>
      <c r="BX30" s="56" t="str">
        <f t="shared" si="24"/>
        <v>x</v>
      </c>
      <c r="BY30" s="56" t="str">
        <f t="shared" si="24"/>
        <v>x</v>
      </c>
      <c r="BZ30" s="56" t="str">
        <f t="shared" si="23"/>
        <v>x</v>
      </c>
      <c r="CA30" s="56" t="str">
        <f t="shared" si="23"/>
        <v>x</v>
      </c>
      <c r="CB30" s="56" t="str">
        <f t="shared" si="23"/>
        <v>x</v>
      </c>
      <c r="CC30" s="56" t="str">
        <f t="shared" si="23"/>
        <v>x</v>
      </c>
      <c r="CD30" s="56" t="str">
        <f t="shared" si="23"/>
        <v>x</v>
      </c>
      <c r="CE30" s="56" t="str">
        <f t="shared" si="23"/>
        <v>x</v>
      </c>
      <c r="CF30" s="56" t="str">
        <f t="shared" si="23"/>
        <v>x</v>
      </c>
      <c r="CG30" s="56" t="str">
        <f t="shared" si="23"/>
        <v>x</v>
      </c>
      <c r="CH30" s="56" t="str">
        <f t="shared" si="23"/>
        <v>x</v>
      </c>
      <c r="CI30" s="56" t="str">
        <f t="shared" si="23"/>
        <v>x</v>
      </c>
      <c r="CJ30" s="56" t="str">
        <f t="shared" si="23"/>
        <v>x</v>
      </c>
      <c r="CK30" s="56" t="str">
        <f t="shared" si="23"/>
        <v>x</v>
      </c>
      <c r="CL30" s="56" t="str">
        <f t="shared" si="23"/>
        <v>x</v>
      </c>
      <c r="CM30" s="56" t="str">
        <f t="shared" si="23"/>
        <v>x</v>
      </c>
      <c r="CN30" s="56" t="str">
        <f t="shared" si="23"/>
        <v>x</v>
      </c>
      <c r="CO30" s="56" t="str">
        <f t="shared" si="23"/>
        <v>x</v>
      </c>
      <c r="CP30" s="56" t="str">
        <f t="shared" si="22"/>
        <v>x</v>
      </c>
      <c r="CQ30" s="56" t="str">
        <f t="shared" si="22"/>
        <v>x</v>
      </c>
      <c r="CR30" s="56" t="str">
        <f t="shared" si="22"/>
        <v>x</v>
      </c>
      <c r="CS30" s="56" t="str">
        <f t="shared" si="22"/>
        <v>x</v>
      </c>
      <c r="CT30" s="56" t="str">
        <f t="shared" si="22"/>
        <v>x</v>
      </c>
      <c r="CU30" s="56" t="str">
        <f t="shared" si="22"/>
        <v>x</v>
      </c>
      <c r="CV30" s="56" t="str">
        <f t="shared" ref="CV30:DE30" si="27">IFERROR(IF(SEARCH(CV$5,$E30),$F30,"-"),"x")</f>
        <v>x</v>
      </c>
      <c r="CW30" s="56" t="str">
        <f t="shared" si="27"/>
        <v>x</v>
      </c>
      <c r="CX30" s="56" t="str">
        <f t="shared" si="27"/>
        <v>x</v>
      </c>
      <c r="CY30" s="56" t="str">
        <f t="shared" si="27"/>
        <v>x</v>
      </c>
      <c r="CZ30" s="56" t="str">
        <f t="shared" si="27"/>
        <v>x</v>
      </c>
      <c r="DA30" s="56" t="str">
        <f t="shared" si="27"/>
        <v>x</v>
      </c>
      <c r="DB30" s="56" t="str">
        <f t="shared" si="27"/>
        <v>x</v>
      </c>
      <c r="DC30" s="56" t="str">
        <f t="shared" si="27"/>
        <v>x</v>
      </c>
      <c r="DD30" s="56" t="str">
        <f t="shared" si="27"/>
        <v>x</v>
      </c>
      <c r="DE30" s="56" t="str">
        <f t="shared" si="27"/>
        <v>x</v>
      </c>
      <c r="DF30" s="56" t="str">
        <f t="shared" si="16"/>
        <v>x</v>
      </c>
      <c r="DG30" s="56" t="str">
        <f t="shared" si="16"/>
        <v>x</v>
      </c>
      <c r="DH30" s="56" t="str">
        <f t="shared" si="16"/>
        <v>x</v>
      </c>
      <c r="DI30" s="56" t="str">
        <f t="shared" si="16"/>
        <v>x</v>
      </c>
      <c r="DJ30" s="56" t="str">
        <f t="shared" si="16"/>
        <v>--</v>
      </c>
      <c r="DK30" s="56" t="str">
        <f t="shared" si="16"/>
        <v>x</v>
      </c>
      <c r="DL30" s="56" t="str">
        <f t="shared" si="16"/>
        <v>x</v>
      </c>
      <c r="DM30" s="56" t="str">
        <f t="shared" ref="DM30:DO30" si="28">IFERROR(IF(SEARCH(DM$5,$E30),$F30,"-"),"x")</f>
        <v>x</v>
      </c>
      <c r="DN30" s="56" t="str">
        <f t="shared" si="28"/>
        <v>x</v>
      </c>
      <c r="DO30" s="56" t="str">
        <f t="shared" si="28"/>
        <v>x</v>
      </c>
    </row>
    <row r="31" spans="1:119" s="15" customFormat="1" ht="33" customHeight="1">
      <c r="A31" s="52"/>
      <c r="B31" s="30" t="s">
        <v>128</v>
      </c>
      <c r="C31" s="29" t="s">
        <v>366</v>
      </c>
      <c r="D31" s="130" t="s">
        <v>237</v>
      </c>
      <c r="E31" s="23" t="s">
        <v>198</v>
      </c>
      <c r="F31" s="36" t="s">
        <v>3</v>
      </c>
      <c r="G31" s="37"/>
      <c r="H31" s="37">
        <v>5</v>
      </c>
      <c r="I31" s="37"/>
      <c r="J31" s="119"/>
      <c r="K31" s="56" t="str">
        <f t="shared" si="20"/>
        <v>x</v>
      </c>
      <c r="L31" s="56" t="str">
        <f t="shared" si="20"/>
        <v>x</v>
      </c>
      <c r="M31" s="56" t="str">
        <f t="shared" si="20"/>
        <v>x</v>
      </c>
      <c r="N31" s="56" t="str">
        <f t="shared" si="20"/>
        <v>x</v>
      </c>
      <c r="O31" s="56" t="str">
        <f t="shared" si="20"/>
        <v>x</v>
      </c>
      <c r="P31" s="56" t="str">
        <f t="shared" si="20"/>
        <v>x</v>
      </c>
      <c r="Q31" s="56" t="str">
        <f t="shared" si="20"/>
        <v>x</v>
      </c>
      <c r="R31" s="56" t="str">
        <f t="shared" si="20"/>
        <v>x</v>
      </c>
      <c r="S31" s="56" t="str">
        <f t="shared" si="20"/>
        <v>x</v>
      </c>
      <c r="T31" s="56" t="str">
        <f t="shared" si="20"/>
        <v>x</v>
      </c>
      <c r="U31" s="56" t="str">
        <f t="shared" si="21"/>
        <v>x</v>
      </c>
      <c r="V31" s="56" t="str">
        <f t="shared" si="21"/>
        <v>x</v>
      </c>
      <c r="W31" s="56" t="str">
        <f t="shared" si="21"/>
        <v>x</v>
      </c>
      <c r="X31" s="56" t="str">
        <f t="shared" si="21"/>
        <v>x</v>
      </c>
      <c r="Y31" s="56" t="str">
        <f t="shared" si="21"/>
        <v>x</v>
      </c>
      <c r="Z31" s="56" t="str">
        <f t="shared" si="21"/>
        <v>x</v>
      </c>
      <c r="AA31" s="56" t="str">
        <f t="shared" si="21"/>
        <v>x</v>
      </c>
      <c r="AB31" s="56" t="str">
        <f t="shared" si="21"/>
        <v>x</v>
      </c>
      <c r="AC31" s="56" t="str">
        <f t="shared" si="21"/>
        <v>x</v>
      </c>
      <c r="AD31" s="56" t="str">
        <f t="shared" si="21"/>
        <v>x</v>
      </c>
      <c r="AE31" s="56" t="str">
        <f t="shared" si="19"/>
        <v>x</v>
      </c>
      <c r="AF31" s="56" t="str">
        <f t="shared" si="19"/>
        <v>x</v>
      </c>
      <c r="AG31" s="56" t="str">
        <f t="shared" si="19"/>
        <v>x</v>
      </c>
      <c r="AH31" s="56" t="str">
        <f t="shared" si="19"/>
        <v>--</v>
      </c>
      <c r="AI31" s="56" t="str">
        <f t="shared" si="19"/>
        <v>x</v>
      </c>
      <c r="AJ31" s="56" t="str">
        <f t="shared" si="19"/>
        <v>x</v>
      </c>
      <c r="AK31" s="56" t="str">
        <f t="shared" si="19"/>
        <v>x</v>
      </c>
      <c r="AL31" s="56" t="str">
        <f t="shared" si="19"/>
        <v>x</v>
      </c>
      <c r="AM31" s="56" t="str">
        <f t="shared" si="19"/>
        <v>x</v>
      </c>
      <c r="AN31" s="56" t="str">
        <f t="shared" si="19"/>
        <v>x</v>
      </c>
      <c r="AO31" s="56" t="str">
        <f t="shared" si="19"/>
        <v>x</v>
      </c>
      <c r="AP31" s="56" t="str">
        <f t="shared" si="19"/>
        <v>x</v>
      </c>
      <c r="AQ31" s="56" t="str">
        <f t="shared" si="19"/>
        <v>x</v>
      </c>
      <c r="AR31" s="56" t="str">
        <f t="shared" si="19"/>
        <v>x</v>
      </c>
      <c r="AS31" s="56" t="str">
        <f t="shared" si="19"/>
        <v>x</v>
      </c>
      <c r="AT31" s="56" t="str">
        <f t="shared" si="18"/>
        <v>x</v>
      </c>
      <c r="AU31" s="56" t="str">
        <f t="shared" si="18"/>
        <v>x</v>
      </c>
      <c r="AV31" s="56" t="str">
        <f t="shared" si="18"/>
        <v>x</v>
      </c>
      <c r="AW31" s="56" t="str">
        <f t="shared" si="18"/>
        <v>x</v>
      </c>
      <c r="AX31" s="56" t="str">
        <f t="shared" si="18"/>
        <v>x</v>
      </c>
      <c r="AY31" s="56" t="str">
        <f t="shared" si="18"/>
        <v>x</v>
      </c>
      <c r="AZ31" s="56" t="str">
        <f t="shared" si="18"/>
        <v>x</v>
      </c>
      <c r="BA31" s="56" t="str">
        <f t="shared" si="18"/>
        <v>x</v>
      </c>
      <c r="BB31" s="56" t="str">
        <f t="shared" si="18"/>
        <v>x</v>
      </c>
      <c r="BC31" s="56" t="str">
        <f t="shared" si="14"/>
        <v>x</v>
      </c>
      <c r="BD31" s="56" t="str">
        <f t="shared" si="14"/>
        <v>x</v>
      </c>
      <c r="BE31" s="56" t="str">
        <f t="shared" si="14"/>
        <v>x</v>
      </c>
      <c r="BF31" s="56" t="str">
        <f t="shared" si="14"/>
        <v>x</v>
      </c>
      <c r="BG31" s="56" t="str">
        <f t="shared" si="14"/>
        <v>x</v>
      </c>
      <c r="BH31" s="56" t="str">
        <f t="shared" si="14"/>
        <v>x</v>
      </c>
      <c r="BI31" s="56" t="str">
        <f t="shared" si="14"/>
        <v>x</v>
      </c>
      <c r="BJ31" s="56" t="str">
        <f t="shared" si="14"/>
        <v>x</v>
      </c>
      <c r="BK31" s="56" t="str">
        <f t="shared" si="24"/>
        <v>x</v>
      </c>
      <c r="BL31" s="56" t="str">
        <f t="shared" si="24"/>
        <v>x</v>
      </c>
      <c r="BM31" s="56" t="str">
        <f t="shared" si="24"/>
        <v>x</v>
      </c>
      <c r="BN31" s="56" t="str">
        <f t="shared" si="24"/>
        <v>x</v>
      </c>
      <c r="BO31" s="56" t="str">
        <f t="shared" si="24"/>
        <v>x</v>
      </c>
      <c r="BP31" s="56" t="str">
        <f t="shared" si="24"/>
        <v>x</v>
      </c>
      <c r="BQ31" s="56" t="str">
        <f t="shared" si="24"/>
        <v>x</v>
      </c>
      <c r="BR31" s="56" t="str">
        <f t="shared" si="24"/>
        <v>x</v>
      </c>
      <c r="BS31" s="56" t="str">
        <f t="shared" si="24"/>
        <v>x</v>
      </c>
      <c r="BT31" s="56" t="str">
        <f t="shared" si="24"/>
        <v>x</v>
      </c>
      <c r="BU31" s="56" t="str">
        <f t="shared" si="24"/>
        <v>x</v>
      </c>
      <c r="BV31" s="56" t="str">
        <f t="shared" si="24"/>
        <v>x</v>
      </c>
      <c r="BW31" s="56" t="str">
        <f t="shared" si="24"/>
        <v>x</v>
      </c>
      <c r="BX31" s="56" t="str">
        <f t="shared" si="24"/>
        <v>x</v>
      </c>
      <c r="BY31" s="56" t="str">
        <f t="shared" si="24"/>
        <v>x</v>
      </c>
      <c r="BZ31" s="56" t="str">
        <f t="shared" si="23"/>
        <v>x</v>
      </c>
      <c r="CA31" s="56" t="str">
        <f t="shared" si="23"/>
        <v>x</v>
      </c>
      <c r="CB31" s="56" t="str">
        <f t="shared" si="23"/>
        <v>x</v>
      </c>
      <c r="CC31" s="56" t="str">
        <f t="shared" si="23"/>
        <v>x</v>
      </c>
      <c r="CD31" s="56" t="str">
        <f t="shared" si="23"/>
        <v>x</v>
      </c>
      <c r="CE31" s="56" t="str">
        <f t="shared" si="23"/>
        <v>x</v>
      </c>
      <c r="CF31" s="56" t="str">
        <f t="shared" si="23"/>
        <v>x</v>
      </c>
      <c r="CG31" s="56" t="str">
        <f t="shared" si="23"/>
        <v>x</v>
      </c>
      <c r="CH31" s="56" t="str">
        <f t="shared" si="23"/>
        <v>x</v>
      </c>
      <c r="CI31" s="56" t="str">
        <f t="shared" si="23"/>
        <v>x</v>
      </c>
      <c r="CJ31" s="56" t="str">
        <f t="shared" si="23"/>
        <v>x</v>
      </c>
      <c r="CK31" s="56" t="str">
        <f t="shared" si="23"/>
        <v>x</v>
      </c>
      <c r="CL31" s="56" t="str">
        <f t="shared" si="23"/>
        <v>x</v>
      </c>
      <c r="CM31" s="56" t="str">
        <f t="shared" si="23"/>
        <v>x</v>
      </c>
      <c r="CN31" s="56" t="str">
        <f t="shared" si="23"/>
        <v>x</v>
      </c>
      <c r="CO31" s="56" t="str">
        <f t="shared" si="23"/>
        <v>x</v>
      </c>
      <c r="CP31" s="56" t="str">
        <f t="shared" si="22"/>
        <v>x</v>
      </c>
      <c r="CQ31" s="56" t="str">
        <f t="shared" si="22"/>
        <v>x</v>
      </c>
      <c r="CR31" s="56" t="str">
        <f t="shared" si="22"/>
        <v>x</v>
      </c>
      <c r="CS31" s="56" t="str">
        <f t="shared" si="22"/>
        <v>x</v>
      </c>
      <c r="CT31" s="56" t="str">
        <f t="shared" si="22"/>
        <v>x</v>
      </c>
      <c r="CU31" s="56" t="str">
        <f t="shared" si="22"/>
        <v>x</v>
      </c>
      <c r="CV31" s="56" t="str">
        <f t="shared" si="17"/>
        <v>x</v>
      </c>
      <c r="CW31" s="56" t="str">
        <f t="shared" si="17"/>
        <v>x</v>
      </c>
      <c r="CX31" s="56" t="str">
        <f t="shared" si="17"/>
        <v>x</v>
      </c>
      <c r="CY31" s="56" t="str">
        <f t="shared" si="17"/>
        <v>x</v>
      </c>
      <c r="CZ31" s="56" t="str">
        <f t="shared" si="17"/>
        <v>x</v>
      </c>
      <c r="DA31" s="56" t="str">
        <f t="shared" si="17"/>
        <v>x</v>
      </c>
      <c r="DB31" s="56" t="str">
        <f t="shared" si="17"/>
        <v>x</v>
      </c>
      <c r="DC31" s="56" t="str">
        <f t="shared" si="17"/>
        <v>x</v>
      </c>
      <c r="DD31" s="56" t="str">
        <f t="shared" si="17"/>
        <v>x</v>
      </c>
      <c r="DE31" s="56" t="str">
        <f t="shared" si="17"/>
        <v>x</v>
      </c>
      <c r="DF31" s="56" t="str">
        <f t="shared" si="16"/>
        <v>x</v>
      </c>
      <c r="DG31" s="56" t="str">
        <f t="shared" si="16"/>
        <v>x</v>
      </c>
      <c r="DH31" s="56" t="str">
        <f t="shared" si="16"/>
        <v>x</v>
      </c>
      <c r="DI31" s="56" t="str">
        <f t="shared" si="16"/>
        <v>x</v>
      </c>
      <c r="DJ31" s="56" t="str">
        <f t="shared" si="16"/>
        <v>--</v>
      </c>
      <c r="DK31" s="56" t="str">
        <f t="shared" si="16"/>
        <v>x</v>
      </c>
      <c r="DL31" s="56" t="str">
        <f t="shared" si="16"/>
        <v>x</v>
      </c>
      <c r="DM31" s="56" t="str">
        <f t="shared" si="16"/>
        <v>x</v>
      </c>
      <c r="DN31" s="56" t="str">
        <f t="shared" si="16"/>
        <v>x</v>
      </c>
      <c r="DO31" s="56" t="str">
        <f t="shared" si="16"/>
        <v>x</v>
      </c>
    </row>
    <row r="32" spans="1:119" s="15" customFormat="1" ht="80.25" customHeight="1">
      <c r="A32" s="52" t="s">
        <v>276</v>
      </c>
      <c r="B32" s="30" t="s">
        <v>122</v>
      </c>
      <c r="C32" s="29" t="s">
        <v>299</v>
      </c>
      <c r="D32" s="130" t="s">
        <v>238</v>
      </c>
      <c r="E32" s="23" t="s">
        <v>185</v>
      </c>
      <c r="F32" s="36" t="s">
        <v>3</v>
      </c>
      <c r="G32" s="37"/>
      <c r="H32" s="37"/>
      <c r="I32" s="37"/>
      <c r="J32" s="119"/>
      <c r="K32" s="56" t="str">
        <f t="shared" si="20"/>
        <v>x</v>
      </c>
      <c r="L32" s="56" t="str">
        <f t="shared" si="20"/>
        <v>x</v>
      </c>
      <c r="M32" s="56" t="str">
        <f t="shared" si="20"/>
        <v>x</v>
      </c>
      <c r="N32" s="56" t="str">
        <f t="shared" si="20"/>
        <v>x</v>
      </c>
      <c r="O32" s="56" t="str">
        <f t="shared" si="20"/>
        <v>x</v>
      </c>
      <c r="P32" s="56" t="str">
        <f t="shared" si="20"/>
        <v>x</v>
      </c>
      <c r="Q32" s="56" t="str">
        <f t="shared" si="20"/>
        <v>x</v>
      </c>
      <c r="R32" s="56" t="str">
        <f t="shared" si="20"/>
        <v>x</v>
      </c>
      <c r="S32" s="56" t="str">
        <f t="shared" si="20"/>
        <v>x</v>
      </c>
      <c r="T32" s="56" t="str">
        <f t="shared" si="20"/>
        <v>x</v>
      </c>
      <c r="U32" s="56" t="str">
        <f t="shared" si="21"/>
        <v>x</v>
      </c>
      <c r="V32" s="56" t="str">
        <f t="shared" si="21"/>
        <v>x</v>
      </c>
      <c r="W32" s="56" t="str">
        <f t="shared" si="21"/>
        <v>x</v>
      </c>
      <c r="X32" s="56" t="str">
        <f t="shared" si="21"/>
        <v>x</v>
      </c>
      <c r="Y32" s="56" t="str">
        <f t="shared" si="21"/>
        <v>x</v>
      </c>
      <c r="Z32" s="56" t="str">
        <f t="shared" si="21"/>
        <v>x</v>
      </c>
      <c r="AA32" s="56" t="str">
        <f t="shared" si="21"/>
        <v>x</v>
      </c>
      <c r="AB32" s="56" t="str">
        <f t="shared" si="21"/>
        <v>x</v>
      </c>
      <c r="AC32" s="56" t="str">
        <f t="shared" si="21"/>
        <v>x</v>
      </c>
      <c r="AD32" s="56" t="str">
        <f t="shared" si="21"/>
        <v>x</v>
      </c>
      <c r="AE32" s="56" t="str">
        <f t="shared" si="19"/>
        <v>x</v>
      </c>
      <c r="AF32" s="56" t="str">
        <f t="shared" si="19"/>
        <v>x</v>
      </c>
      <c r="AG32" s="56" t="str">
        <f t="shared" si="19"/>
        <v>x</v>
      </c>
      <c r="AH32" s="56" t="str">
        <f t="shared" si="19"/>
        <v>x</v>
      </c>
      <c r="AI32" s="56" t="str">
        <f t="shared" si="19"/>
        <v>--</v>
      </c>
      <c r="AJ32" s="56" t="str">
        <f t="shared" si="19"/>
        <v>x</v>
      </c>
      <c r="AK32" s="56" t="str">
        <f t="shared" si="19"/>
        <v>x</v>
      </c>
      <c r="AL32" s="56" t="str">
        <f t="shared" si="19"/>
        <v>x</v>
      </c>
      <c r="AM32" s="56" t="str">
        <f t="shared" si="19"/>
        <v>x</v>
      </c>
      <c r="AN32" s="56" t="str">
        <f t="shared" si="19"/>
        <v>x</v>
      </c>
      <c r="AO32" s="56" t="str">
        <f t="shared" si="19"/>
        <v>x</v>
      </c>
      <c r="AP32" s="56" t="str">
        <f t="shared" si="19"/>
        <v>x</v>
      </c>
      <c r="AQ32" s="56" t="str">
        <f t="shared" si="19"/>
        <v>x</v>
      </c>
      <c r="AR32" s="56" t="str">
        <f t="shared" si="19"/>
        <v>x</v>
      </c>
      <c r="AS32" s="56" t="str">
        <f t="shared" si="19"/>
        <v>x</v>
      </c>
      <c r="AT32" s="56" t="str">
        <f t="shared" si="18"/>
        <v>x</v>
      </c>
      <c r="AU32" s="56" t="str">
        <f t="shared" si="18"/>
        <v>x</v>
      </c>
      <c r="AV32" s="56" t="str">
        <f t="shared" si="18"/>
        <v>x</v>
      </c>
      <c r="AW32" s="56" t="str">
        <f t="shared" si="18"/>
        <v>x</v>
      </c>
      <c r="AX32" s="56" t="str">
        <f t="shared" si="18"/>
        <v>x</v>
      </c>
      <c r="AY32" s="56" t="str">
        <f t="shared" si="18"/>
        <v>x</v>
      </c>
      <c r="AZ32" s="56" t="str">
        <f t="shared" si="18"/>
        <v>x</v>
      </c>
      <c r="BA32" s="56" t="str">
        <f t="shared" si="18"/>
        <v>x</v>
      </c>
      <c r="BB32" s="56" t="str">
        <f t="shared" si="18"/>
        <v>x</v>
      </c>
      <c r="BC32" s="56" t="str">
        <f t="shared" si="14"/>
        <v>x</v>
      </c>
      <c r="BD32" s="56" t="str">
        <f t="shared" si="14"/>
        <v>x</v>
      </c>
      <c r="BE32" s="56" t="str">
        <f t="shared" si="14"/>
        <v>x</v>
      </c>
      <c r="BF32" s="56" t="str">
        <f t="shared" si="14"/>
        <v>x</v>
      </c>
      <c r="BG32" s="56" t="str">
        <f t="shared" si="14"/>
        <v>x</v>
      </c>
      <c r="BH32" s="56" t="str">
        <f t="shared" si="14"/>
        <v>x</v>
      </c>
      <c r="BI32" s="56" t="str">
        <f t="shared" si="14"/>
        <v>x</v>
      </c>
      <c r="BJ32" s="56" t="str">
        <f t="shared" si="14"/>
        <v>x</v>
      </c>
      <c r="BK32" s="56" t="str">
        <f t="shared" si="24"/>
        <v>x</v>
      </c>
      <c r="BL32" s="56" t="str">
        <f t="shared" si="24"/>
        <v>x</v>
      </c>
      <c r="BM32" s="56" t="str">
        <f t="shared" si="24"/>
        <v>x</v>
      </c>
      <c r="BN32" s="56" t="str">
        <f t="shared" si="24"/>
        <v>x</v>
      </c>
      <c r="BO32" s="56" t="str">
        <f t="shared" si="24"/>
        <v>x</v>
      </c>
      <c r="BP32" s="56" t="str">
        <f t="shared" si="24"/>
        <v>x</v>
      </c>
      <c r="BQ32" s="56" t="str">
        <f t="shared" si="24"/>
        <v>x</v>
      </c>
      <c r="BR32" s="56" t="str">
        <f t="shared" si="24"/>
        <v>x</v>
      </c>
      <c r="BS32" s="56" t="str">
        <f t="shared" si="24"/>
        <v>x</v>
      </c>
      <c r="BT32" s="56" t="str">
        <f t="shared" si="24"/>
        <v>x</v>
      </c>
      <c r="BU32" s="56" t="str">
        <f t="shared" si="24"/>
        <v>x</v>
      </c>
      <c r="BV32" s="56" t="str">
        <f t="shared" si="24"/>
        <v>x</v>
      </c>
      <c r="BW32" s="56" t="str">
        <f t="shared" si="24"/>
        <v>x</v>
      </c>
      <c r="BX32" s="56" t="str">
        <f t="shared" si="24"/>
        <v>x</v>
      </c>
      <c r="BY32" s="56" t="str">
        <f t="shared" si="24"/>
        <v>x</v>
      </c>
      <c r="BZ32" s="56" t="str">
        <f t="shared" si="23"/>
        <v>x</v>
      </c>
      <c r="CA32" s="56" t="str">
        <f t="shared" si="23"/>
        <v>x</v>
      </c>
      <c r="CB32" s="56" t="str">
        <f t="shared" si="23"/>
        <v>x</v>
      </c>
      <c r="CC32" s="56" t="str">
        <f t="shared" si="23"/>
        <v>x</v>
      </c>
      <c r="CD32" s="56" t="str">
        <f t="shared" si="23"/>
        <v>x</v>
      </c>
      <c r="CE32" s="56" t="str">
        <f t="shared" si="23"/>
        <v>x</v>
      </c>
      <c r="CF32" s="56" t="str">
        <f t="shared" si="23"/>
        <v>x</v>
      </c>
      <c r="CG32" s="56" t="str">
        <f t="shared" si="23"/>
        <v>x</v>
      </c>
      <c r="CH32" s="56" t="str">
        <f t="shared" si="23"/>
        <v>x</v>
      </c>
      <c r="CI32" s="56" t="str">
        <f t="shared" si="23"/>
        <v>x</v>
      </c>
      <c r="CJ32" s="56" t="str">
        <f t="shared" si="23"/>
        <v>x</v>
      </c>
      <c r="CK32" s="56" t="str">
        <f t="shared" si="23"/>
        <v>x</v>
      </c>
      <c r="CL32" s="56" t="str">
        <f t="shared" si="23"/>
        <v>x</v>
      </c>
      <c r="CM32" s="56" t="str">
        <f t="shared" si="23"/>
        <v>x</v>
      </c>
      <c r="CN32" s="56" t="str">
        <f t="shared" si="23"/>
        <v>x</v>
      </c>
      <c r="CO32" s="56" t="str">
        <f t="shared" si="23"/>
        <v>x</v>
      </c>
      <c r="CP32" s="56" t="str">
        <f t="shared" si="22"/>
        <v>x</v>
      </c>
      <c r="CQ32" s="56" t="str">
        <f t="shared" si="22"/>
        <v>x</v>
      </c>
      <c r="CR32" s="56" t="str">
        <f t="shared" si="22"/>
        <v>x</v>
      </c>
      <c r="CS32" s="56" t="str">
        <f t="shared" si="22"/>
        <v>x</v>
      </c>
      <c r="CT32" s="56" t="str">
        <f t="shared" si="22"/>
        <v>x</v>
      </c>
      <c r="CU32" s="56" t="str">
        <f t="shared" si="22"/>
        <v>x</v>
      </c>
      <c r="CV32" s="56" t="str">
        <f t="shared" si="17"/>
        <v>x</v>
      </c>
      <c r="CW32" s="56" t="str">
        <f t="shared" si="17"/>
        <v>--</v>
      </c>
      <c r="CX32" s="56" t="str">
        <f t="shared" si="17"/>
        <v>x</v>
      </c>
      <c r="CY32" s="56" t="str">
        <f t="shared" si="17"/>
        <v>x</v>
      </c>
      <c r="CZ32" s="56" t="str">
        <f t="shared" si="17"/>
        <v>x</v>
      </c>
      <c r="DA32" s="56" t="str">
        <f t="shared" si="17"/>
        <v>x</v>
      </c>
      <c r="DB32" s="56" t="str">
        <f t="shared" si="17"/>
        <v>x</v>
      </c>
      <c r="DC32" s="56" t="str">
        <f t="shared" si="17"/>
        <v>x</v>
      </c>
      <c r="DD32" s="56" t="str">
        <f t="shared" si="17"/>
        <v>x</v>
      </c>
      <c r="DE32" s="56" t="str">
        <f t="shared" ref="DE32:DL56" si="29">IFERROR(IF(SEARCH(DE$5,$E32),$F32,"-"),"x")</f>
        <v>x</v>
      </c>
      <c r="DF32" s="56" t="str">
        <f t="shared" si="29"/>
        <v>x</v>
      </c>
      <c r="DG32" s="56" t="str">
        <f t="shared" si="29"/>
        <v>x</v>
      </c>
      <c r="DH32" s="56" t="str">
        <f t="shared" si="29"/>
        <v>x</v>
      </c>
      <c r="DI32" s="56" t="str">
        <f t="shared" si="29"/>
        <v>x</v>
      </c>
      <c r="DJ32" s="56" t="str">
        <f t="shared" si="29"/>
        <v>x</v>
      </c>
      <c r="DK32" s="56" t="str">
        <f t="shared" si="29"/>
        <v>x</v>
      </c>
      <c r="DL32" s="56" t="str">
        <f t="shared" si="29"/>
        <v>x</v>
      </c>
      <c r="DM32" s="56" t="str">
        <f t="shared" si="16"/>
        <v>x</v>
      </c>
      <c r="DN32" s="56" t="str">
        <f t="shared" si="16"/>
        <v>x</v>
      </c>
      <c r="DO32" s="56" t="str">
        <f t="shared" si="16"/>
        <v>x</v>
      </c>
    </row>
    <row r="33" spans="1:119" s="15" customFormat="1" ht="49.5" customHeight="1" thickBot="1">
      <c r="A33" s="52"/>
      <c r="B33" s="30" t="s">
        <v>123</v>
      </c>
      <c r="C33" s="29" t="s">
        <v>347</v>
      </c>
      <c r="D33" s="130" t="s">
        <v>300</v>
      </c>
      <c r="E33" s="23" t="s">
        <v>200</v>
      </c>
      <c r="F33" s="36" t="s">
        <v>3</v>
      </c>
      <c r="G33" s="37"/>
      <c r="H33" s="37"/>
      <c r="I33" s="37"/>
      <c r="J33" s="119"/>
      <c r="K33" s="56" t="str">
        <f t="shared" si="20"/>
        <v>x</v>
      </c>
      <c r="L33" s="56" t="str">
        <f t="shared" si="20"/>
        <v>x</v>
      </c>
      <c r="M33" s="56" t="str">
        <f t="shared" si="20"/>
        <v>x</v>
      </c>
      <c r="N33" s="56" t="str">
        <f t="shared" si="20"/>
        <v>x</v>
      </c>
      <c r="O33" s="56" t="str">
        <f t="shared" si="20"/>
        <v>x</v>
      </c>
      <c r="P33" s="56" t="str">
        <f t="shared" si="20"/>
        <v>x</v>
      </c>
      <c r="Q33" s="56" t="str">
        <f t="shared" si="20"/>
        <v>x</v>
      </c>
      <c r="R33" s="56" t="str">
        <f t="shared" si="20"/>
        <v>x</v>
      </c>
      <c r="S33" s="56" t="str">
        <f t="shared" si="20"/>
        <v>x</v>
      </c>
      <c r="T33" s="56" t="str">
        <f t="shared" si="20"/>
        <v>x</v>
      </c>
      <c r="U33" s="56" t="str">
        <f t="shared" si="21"/>
        <v>x</v>
      </c>
      <c r="V33" s="56" t="str">
        <f t="shared" si="21"/>
        <v>x</v>
      </c>
      <c r="W33" s="56" t="str">
        <f t="shared" si="21"/>
        <v>x</v>
      </c>
      <c r="X33" s="56" t="str">
        <f t="shared" si="21"/>
        <v>x</v>
      </c>
      <c r="Y33" s="56" t="str">
        <f t="shared" si="21"/>
        <v>x</v>
      </c>
      <c r="Z33" s="56" t="str">
        <f t="shared" si="21"/>
        <v>x</v>
      </c>
      <c r="AA33" s="56" t="str">
        <f t="shared" si="21"/>
        <v>x</v>
      </c>
      <c r="AB33" s="56" t="str">
        <f t="shared" si="21"/>
        <v>x</v>
      </c>
      <c r="AC33" s="56" t="str">
        <f t="shared" si="21"/>
        <v>x</v>
      </c>
      <c r="AD33" s="56" t="str">
        <f t="shared" si="21"/>
        <v>x</v>
      </c>
      <c r="AE33" s="56" t="str">
        <f t="shared" si="19"/>
        <v>x</v>
      </c>
      <c r="AF33" s="56" t="str">
        <f t="shared" si="19"/>
        <v>x</v>
      </c>
      <c r="AG33" s="56" t="str">
        <f t="shared" si="19"/>
        <v>x</v>
      </c>
      <c r="AH33" s="56" t="str">
        <f t="shared" si="19"/>
        <v>x</v>
      </c>
      <c r="AI33" s="56" t="str">
        <f t="shared" si="19"/>
        <v>x</v>
      </c>
      <c r="AJ33" s="56" t="str">
        <f t="shared" si="19"/>
        <v>--</v>
      </c>
      <c r="AK33" s="56" t="str">
        <f t="shared" si="19"/>
        <v>x</v>
      </c>
      <c r="AL33" s="56" t="str">
        <f t="shared" si="19"/>
        <v>x</v>
      </c>
      <c r="AM33" s="56" t="str">
        <f t="shared" si="19"/>
        <v>x</v>
      </c>
      <c r="AN33" s="56" t="str">
        <f t="shared" si="19"/>
        <v>x</v>
      </c>
      <c r="AO33" s="56" t="str">
        <f t="shared" si="19"/>
        <v>x</v>
      </c>
      <c r="AP33" s="56" t="str">
        <f t="shared" si="19"/>
        <v>x</v>
      </c>
      <c r="AQ33" s="56" t="str">
        <f t="shared" si="19"/>
        <v>x</v>
      </c>
      <c r="AR33" s="56" t="str">
        <f t="shared" si="19"/>
        <v>x</v>
      </c>
      <c r="AS33" s="56" t="str">
        <f t="shared" si="19"/>
        <v>x</v>
      </c>
      <c r="AT33" s="56" t="str">
        <f t="shared" si="18"/>
        <v>x</v>
      </c>
      <c r="AU33" s="56" t="str">
        <f t="shared" si="18"/>
        <v>x</v>
      </c>
      <c r="AV33" s="56" t="str">
        <f t="shared" si="18"/>
        <v>x</v>
      </c>
      <c r="AW33" s="56" t="str">
        <f t="shared" si="18"/>
        <v>x</v>
      </c>
      <c r="AX33" s="56" t="str">
        <f t="shared" si="18"/>
        <v>x</v>
      </c>
      <c r="AY33" s="56" t="str">
        <f t="shared" si="18"/>
        <v>x</v>
      </c>
      <c r="AZ33" s="56" t="str">
        <f t="shared" si="18"/>
        <v>x</v>
      </c>
      <c r="BA33" s="56" t="str">
        <f t="shared" si="18"/>
        <v>x</v>
      </c>
      <c r="BB33" s="56" t="str">
        <f t="shared" si="18"/>
        <v>x</v>
      </c>
      <c r="BC33" s="56" t="str">
        <f t="shared" si="14"/>
        <v>x</v>
      </c>
      <c r="BD33" s="56" t="str">
        <f t="shared" si="14"/>
        <v>x</v>
      </c>
      <c r="BE33" s="56" t="str">
        <f t="shared" si="14"/>
        <v>x</v>
      </c>
      <c r="BF33" s="56" t="str">
        <f t="shared" si="14"/>
        <v>x</v>
      </c>
      <c r="BG33" s="56" t="str">
        <f t="shared" si="14"/>
        <v>x</v>
      </c>
      <c r="BH33" s="56" t="str">
        <f t="shared" si="14"/>
        <v>x</v>
      </c>
      <c r="BI33" s="56" t="str">
        <f t="shared" si="14"/>
        <v>x</v>
      </c>
      <c r="BJ33" s="56" t="str">
        <f t="shared" si="14"/>
        <v>x</v>
      </c>
      <c r="BK33" s="56" t="str">
        <f t="shared" si="24"/>
        <v>x</v>
      </c>
      <c r="BL33" s="56" t="str">
        <f t="shared" si="24"/>
        <v>x</v>
      </c>
      <c r="BM33" s="56" t="str">
        <f t="shared" si="24"/>
        <v>x</v>
      </c>
      <c r="BN33" s="56" t="str">
        <f t="shared" si="24"/>
        <v>x</v>
      </c>
      <c r="BO33" s="56" t="str">
        <f t="shared" si="24"/>
        <v>x</v>
      </c>
      <c r="BP33" s="56" t="str">
        <f t="shared" si="24"/>
        <v>x</v>
      </c>
      <c r="BQ33" s="56" t="str">
        <f t="shared" si="24"/>
        <v>x</v>
      </c>
      <c r="BR33" s="56" t="str">
        <f t="shared" si="24"/>
        <v>x</v>
      </c>
      <c r="BS33" s="56" t="str">
        <f t="shared" si="24"/>
        <v>x</v>
      </c>
      <c r="BT33" s="56" t="str">
        <f t="shared" si="24"/>
        <v>x</v>
      </c>
      <c r="BU33" s="56" t="str">
        <f t="shared" si="24"/>
        <v>x</v>
      </c>
      <c r="BV33" s="56" t="str">
        <f t="shared" si="24"/>
        <v>x</v>
      </c>
      <c r="BW33" s="56" t="str">
        <f t="shared" si="24"/>
        <v>x</v>
      </c>
      <c r="BX33" s="56" t="str">
        <f t="shared" si="24"/>
        <v>x</v>
      </c>
      <c r="BY33" s="56" t="str">
        <f t="shared" si="24"/>
        <v>x</v>
      </c>
      <c r="BZ33" s="56" t="str">
        <f t="shared" si="23"/>
        <v>x</v>
      </c>
      <c r="CA33" s="56" t="str">
        <f t="shared" si="23"/>
        <v>x</v>
      </c>
      <c r="CB33" s="56" t="str">
        <f t="shared" si="23"/>
        <v>x</v>
      </c>
      <c r="CC33" s="56" t="str">
        <f t="shared" si="23"/>
        <v>x</v>
      </c>
      <c r="CD33" s="56" t="str">
        <f t="shared" si="23"/>
        <v>x</v>
      </c>
      <c r="CE33" s="56" t="str">
        <f t="shared" si="23"/>
        <v>x</v>
      </c>
      <c r="CF33" s="56" t="str">
        <f t="shared" si="23"/>
        <v>x</v>
      </c>
      <c r="CG33" s="56" t="str">
        <f t="shared" si="23"/>
        <v>x</v>
      </c>
      <c r="CH33" s="56" t="str">
        <f t="shared" si="23"/>
        <v>x</v>
      </c>
      <c r="CI33" s="56" t="str">
        <f t="shared" si="23"/>
        <v>x</v>
      </c>
      <c r="CJ33" s="56" t="str">
        <f t="shared" si="23"/>
        <v>x</v>
      </c>
      <c r="CK33" s="56" t="str">
        <f t="shared" si="23"/>
        <v>x</v>
      </c>
      <c r="CL33" s="56" t="str">
        <f t="shared" si="23"/>
        <v>x</v>
      </c>
      <c r="CM33" s="56" t="str">
        <f t="shared" si="23"/>
        <v>x</v>
      </c>
      <c r="CN33" s="56" t="str">
        <f t="shared" si="23"/>
        <v>x</v>
      </c>
      <c r="CO33" s="56" t="str">
        <f t="shared" si="23"/>
        <v>x</v>
      </c>
      <c r="CP33" s="56" t="str">
        <f t="shared" si="22"/>
        <v>x</v>
      </c>
      <c r="CQ33" s="56" t="str">
        <f t="shared" si="22"/>
        <v>x</v>
      </c>
      <c r="CR33" s="56" t="str">
        <f t="shared" si="22"/>
        <v>x</v>
      </c>
      <c r="CS33" s="56" t="str">
        <f t="shared" si="22"/>
        <v>x</v>
      </c>
      <c r="CT33" s="56" t="str">
        <f t="shared" si="22"/>
        <v>x</v>
      </c>
      <c r="CU33" s="56" t="str">
        <f t="shared" si="22"/>
        <v>x</v>
      </c>
      <c r="CV33" s="56" t="str">
        <f t="shared" ref="CV33:DK57" si="30">IFERROR(IF(SEARCH(CV$5,$E33),$F33,"-"),"x")</f>
        <v>x</v>
      </c>
      <c r="CW33" s="56" t="str">
        <f t="shared" si="30"/>
        <v>x</v>
      </c>
      <c r="CX33" s="56" t="str">
        <f t="shared" si="30"/>
        <v>x</v>
      </c>
      <c r="CY33" s="56" t="str">
        <f t="shared" si="30"/>
        <v>x</v>
      </c>
      <c r="CZ33" s="56" t="str">
        <f t="shared" si="30"/>
        <v>x</v>
      </c>
      <c r="DA33" s="56" t="str">
        <f t="shared" si="30"/>
        <v>x</v>
      </c>
      <c r="DB33" s="56" t="str">
        <f t="shared" si="30"/>
        <v>x</v>
      </c>
      <c r="DC33" s="56" t="str">
        <f t="shared" si="30"/>
        <v>x</v>
      </c>
      <c r="DD33" s="56" t="str">
        <f t="shared" si="30"/>
        <v>x</v>
      </c>
      <c r="DE33" s="56" t="str">
        <f t="shared" si="30"/>
        <v>x</v>
      </c>
      <c r="DF33" s="56" t="str">
        <f t="shared" si="30"/>
        <v>x</v>
      </c>
      <c r="DG33" s="56" t="str">
        <f t="shared" si="30"/>
        <v>x</v>
      </c>
      <c r="DH33" s="56" t="str">
        <f t="shared" si="30"/>
        <v>x</v>
      </c>
      <c r="DI33" s="56" t="str">
        <f t="shared" si="30"/>
        <v>x</v>
      </c>
      <c r="DJ33" s="56" t="str">
        <f t="shared" si="30"/>
        <v>x</v>
      </c>
      <c r="DK33" s="56" t="str">
        <f t="shared" si="30"/>
        <v>x</v>
      </c>
      <c r="DL33" s="56" t="str">
        <f t="shared" si="29"/>
        <v>--</v>
      </c>
      <c r="DM33" s="56" t="str">
        <f t="shared" si="16"/>
        <v>x</v>
      </c>
      <c r="DN33" s="56" t="str">
        <f t="shared" si="16"/>
        <v>x</v>
      </c>
      <c r="DO33" s="56" t="str">
        <f t="shared" si="16"/>
        <v>x</v>
      </c>
    </row>
    <row r="34" spans="1:119" s="18" customFormat="1" ht="69.75" customHeight="1">
      <c r="A34" s="52" t="s">
        <v>277</v>
      </c>
      <c r="B34" s="30" t="s">
        <v>122</v>
      </c>
      <c r="C34" s="29" t="s">
        <v>301</v>
      </c>
      <c r="D34" s="130" t="s">
        <v>239</v>
      </c>
      <c r="E34" s="23" t="s">
        <v>163</v>
      </c>
      <c r="F34" s="36" t="s">
        <v>3</v>
      </c>
      <c r="G34" s="37"/>
      <c r="H34" s="37">
        <v>7</v>
      </c>
      <c r="I34" s="37"/>
      <c r="J34" s="119"/>
      <c r="K34" s="56" t="str">
        <f t="shared" si="20"/>
        <v>x</v>
      </c>
      <c r="L34" s="56" t="str">
        <f t="shared" si="20"/>
        <v>x</v>
      </c>
      <c r="M34" s="56" t="str">
        <f t="shared" si="20"/>
        <v>x</v>
      </c>
      <c r="N34" s="56" t="str">
        <f t="shared" si="20"/>
        <v>x</v>
      </c>
      <c r="O34" s="56" t="str">
        <f t="shared" si="20"/>
        <v>x</v>
      </c>
      <c r="P34" s="56" t="str">
        <f t="shared" si="20"/>
        <v>x</v>
      </c>
      <c r="Q34" s="56" t="str">
        <f t="shared" si="20"/>
        <v>x</v>
      </c>
      <c r="R34" s="56" t="str">
        <f t="shared" si="20"/>
        <v>x</v>
      </c>
      <c r="S34" s="56" t="str">
        <f t="shared" si="20"/>
        <v>x</v>
      </c>
      <c r="T34" s="56" t="str">
        <f t="shared" si="20"/>
        <v>x</v>
      </c>
      <c r="U34" s="56" t="str">
        <f t="shared" si="21"/>
        <v>x</v>
      </c>
      <c r="V34" s="56" t="str">
        <f t="shared" si="21"/>
        <v>x</v>
      </c>
      <c r="W34" s="56" t="str">
        <f t="shared" si="21"/>
        <v>x</v>
      </c>
      <c r="X34" s="56" t="str">
        <f t="shared" si="21"/>
        <v>x</v>
      </c>
      <c r="Y34" s="56" t="str">
        <f t="shared" si="21"/>
        <v>x</v>
      </c>
      <c r="Z34" s="56" t="str">
        <f t="shared" si="21"/>
        <v>x</v>
      </c>
      <c r="AA34" s="56" t="str">
        <f t="shared" si="21"/>
        <v>x</v>
      </c>
      <c r="AB34" s="56" t="str">
        <f t="shared" si="21"/>
        <v>x</v>
      </c>
      <c r="AC34" s="56" t="str">
        <f t="shared" si="21"/>
        <v>x</v>
      </c>
      <c r="AD34" s="56" t="str">
        <f t="shared" si="21"/>
        <v>x</v>
      </c>
      <c r="AE34" s="56" t="str">
        <f t="shared" si="19"/>
        <v>x</v>
      </c>
      <c r="AF34" s="56" t="str">
        <f t="shared" si="19"/>
        <v>x</v>
      </c>
      <c r="AG34" s="56" t="str">
        <f t="shared" si="19"/>
        <v>x</v>
      </c>
      <c r="AH34" s="56" t="str">
        <f t="shared" si="19"/>
        <v>x</v>
      </c>
      <c r="AI34" s="56" t="str">
        <f t="shared" si="19"/>
        <v>x</v>
      </c>
      <c r="AJ34" s="56" t="str">
        <f t="shared" si="19"/>
        <v>x</v>
      </c>
      <c r="AK34" s="56" t="str">
        <f t="shared" si="19"/>
        <v>--</v>
      </c>
      <c r="AL34" s="56" t="str">
        <f t="shared" si="19"/>
        <v>x</v>
      </c>
      <c r="AM34" s="56" t="str">
        <f t="shared" si="19"/>
        <v>x</v>
      </c>
      <c r="AN34" s="56" t="str">
        <f t="shared" si="19"/>
        <v>x</v>
      </c>
      <c r="AO34" s="56" t="str">
        <f t="shared" si="19"/>
        <v>x</v>
      </c>
      <c r="AP34" s="56" t="str">
        <f t="shared" si="19"/>
        <v>x</v>
      </c>
      <c r="AQ34" s="56" t="str">
        <f t="shared" si="19"/>
        <v>x</v>
      </c>
      <c r="AR34" s="56" t="str">
        <f t="shared" si="19"/>
        <v>x</v>
      </c>
      <c r="AS34" s="56" t="str">
        <f t="shared" si="19"/>
        <v>x</v>
      </c>
      <c r="AT34" s="56" t="str">
        <f t="shared" si="18"/>
        <v>x</v>
      </c>
      <c r="AU34" s="56" t="str">
        <f t="shared" si="18"/>
        <v>x</v>
      </c>
      <c r="AV34" s="56" t="str">
        <f t="shared" si="18"/>
        <v>x</v>
      </c>
      <c r="AW34" s="56" t="str">
        <f t="shared" si="18"/>
        <v>x</v>
      </c>
      <c r="AX34" s="56" t="str">
        <f t="shared" si="18"/>
        <v>x</v>
      </c>
      <c r="AY34" s="56" t="str">
        <f t="shared" si="18"/>
        <v>x</v>
      </c>
      <c r="AZ34" s="56" t="str">
        <f t="shared" si="18"/>
        <v>x</v>
      </c>
      <c r="BA34" s="56" t="str">
        <f t="shared" si="18"/>
        <v>x</v>
      </c>
      <c r="BB34" s="56" t="str">
        <f t="shared" si="18"/>
        <v>x</v>
      </c>
      <c r="BC34" s="56" t="str">
        <f t="shared" si="14"/>
        <v>x</v>
      </c>
      <c r="BD34" s="56" t="str">
        <f t="shared" si="14"/>
        <v>x</v>
      </c>
      <c r="BE34" s="56" t="str">
        <f t="shared" si="14"/>
        <v>x</v>
      </c>
      <c r="BF34" s="56" t="str">
        <f t="shared" si="14"/>
        <v>x</v>
      </c>
      <c r="BG34" s="56" t="str">
        <f t="shared" si="14"/>
        <v>x</v>
      </c>
      <c r="BH34" s="56" t="str">
        <f t="shared" si="14"/>
        <v>x</v>
      </c>
      <c r="BI34" s="56" t="str">
        <f t="shared" si="14"/>
        <v>x</v>
      </c>
      <c r="BJ34" s="56" t="str">
        <f t="shared" si="14"/>
        <v>x</v>
      </c>
      <c r="BK34" s="56" t="str">
        <f t="shared" si="24"/>
        <v>x</v>
      </c>
      <c r="BL34" s="56" t="str">
        <f t="shared" si="24"/>
        <v>x</v>
      </c>
      <c r="BM34" s="56" t="str">
        <f t="shared" si="24"/>
        <v>x</v>
      </c>
      <c r="BN34" s="56" t="str">
        <f t="shared" si="24"/>
        <v>x</v>
      </c>
      <c r="BO34" s="56" t="str">
        <f t="shared" si="24"/>
        <v>x</v>
      </c>
      <c r="BP34" s="56" t="str">
        <f t="shared" si="24"/>
        <v>x</v>
      </c>
      <c r="BQ34" s="56" t="str">
        <f t="shared" si="24"/>
        <v>x</v>
      </c>
      <c r="BR34" s="56" t="str">
        <f t="shared" si="24"/>
        <v>x</v>
      </c>
      <c r="BS34" s="56" t="str">
        <f t="shared" si="24"/>
        <v>x</v>
      </c>
      <c r="BT34" s="56" t="str">
        <f t="shared" si="24"/>
        <v>x</v>
      </c>
      <c r="BU34" s="56" t="str">
        <f t="shared" si="24"/>
        <v>x</v>
      </c>
      <c r="BV34" s="56" t="str">
        <f t="shared" si="24"/>
        <v>x</v>
      </c>
      <c r="BW34" s="56" t="str">
        <f t="shared" si="24"/>
        <v>x</v>
      </c>
      <c r="BX34" s="56" t="str">
        <f t="shared" si="24"/>
        <v>x</v>
      </c>
      <c r="BY34" s="56" t="str">
        <f t="shared" si="24"/>
        <v>x</v>
      </c>
      <c r="BZ34" s="56" t="str">
        <f t="shared" si="23"/>
        <v>x</v>
      </c>
      <c r="CA34" s="56" t="str">
        <f t="shared" si="23"/>
        <v>--</v>
      </c>
      <c r="CB34" s="56" t="str">
        <f t="shared" si="23"/>
        <v>x</v>
      </c>
      <c r="CC34" s="56" t="str">
        <f t="shared" si="23"/>
        <v>x</v>
      </c>
      <c r="CD34" s="56" t="str">
        <f t="shared" si="23"/>
        <v>x</v>
      </c>
      <c r="CE34" s="56" t="str">
        <f t="shared" si="23"/>
        <v>x</v>
      </c>
      <c r="CF34" s="56" t="str">
        <f t="shared" si="23"/>
        <v>x</v>
      </c>
      <c r="CG34" s="56" t="str">
        <f t="shared" si="23"/>
        <v>x</v>
      </c>
      <c r="CH34" s="56" t="str">
        <f t="shared" si="23"/>
        <v>x</v>
      </c>
      <c r="CI34" s="56" t="str">
        <f t="shared" si="23"/>
        <v>x</v>
      </c>
      <c r="CJ34" s="56" t="str">
        <f t="shared" si="23"/>
        <v>x</v>
      </c>
      <c r="CK34" s="56" t="str">
        <f t="shared" si="23"/>
        <v>x</v>
      </c>
      <c r="CL34" s="56" t="str">
        <f t="shared" si="23"/>
        <v>x</v>
      </c>
      <c r="CM34" s="56" t="str">
        <f t="shared" si="23"/>
        <v>x</v>
      </c>
      <c r="CN34" s="56" t="str">
        <f t="shared" si="23"/>
        <v>x</v>
      </c>
      <c r="CO34" s="56" t="str">
        <f t="shared" si="23"/>
        <v>x</v>
      </c>
      <c r="CP34" s="56" t="str">
        <f t="shared" si="22"/>
        <v>x</v>
      </c>
      <c r="CQ34" s="56" t="str">
        <f t="shared" si="22"/>
        <v>x</v>
      </c>
      <c r="CR34" s="56" t="str">
        <f t="shared" si="22"/>
        <v>x</v>
      </c>
      <c r="CS34" s="56" t="str">
        <f t="shared" si="22"/>
        <v>x</v>
      </c>
      <c r="CT34" s="56" t="str">
        <f t="shared" si="22"/>
        <v>x</v>
      </c>
      <c r="CU34" s="56" t="str">
        <f t="shared" si="22"/>
        <v>x</v>
      </c>
      <c r="CV34" s="56" t="str">
        <f t="shared" si="30"/>
        <v>x</v>
      </c>
      <c r="CW34" s="56" t="str">
        <f t="shared" si="30"/>
        <v>x</v>
      </c>
      <c r="CX34" s="56" t="str">
        <f t="shared" si="30"/>
        <v>x</v>
      </c>
      <c r="CY34" s="56" t="str">
        <f t="shared" si="30"/>
        <v>x</v>
      </c>
      <c r="CZ34" s="56" t="str">
        <f t="shared" si="30"/>
        <v>x</v>
      </c>
      <c r="DA34" s="56" t="str">
        <f t="shared" si="30"/>
        <v>x</v>
      </c>
      <c r="DB34" s="56" t="str">
        <f t="shared" si="30"/>
        <v>x</v>
      </c>
      <c r="DC34" s="56" t="str">
        <f t="shared" si="30"/>
        <v>x</v>
      </c>
      <c r="DD34" s="56" t="str">
        <f t="shared" si="30"/>
        <v>x</v>
      </c>
      <c r="DE34" s="56" t="str">
        <f t="shared" si="30"/>
        <v>x</v>
      </c>
      <c r="DF34" s="56" t="str">
        <f t="shared" si="30"/>
        <v>x</v>
      </c>
      <c r="DG34" s="56" t="str">
        <f t="shared" si="30"/>
        <v>x</v>
      </c>
      <c r="DH34" s="56" t="str">
        <f t="shared" si="30"/>
        <v>x</v>
      </c>
      <c r="DI34" s="56" t="str">
        <f t="shared" si="30"/>
        <v>x</v>
      </c>
      <c r="DJ34" s="56" t="str">
        <f t="shared" si="30"/>
        <v>x</v>
      </c>
      <c r="DK34" s="56" t="str">
        <f t="shared" si="30"/>
        <v>x</v>
      </c>
      <c r="DL34" s="56" t="str">
        <f t="shared" si="29"/>
        <v>x</v>
      </c>
      <c r="DM34" s="56" t="str">
        <f t="shared" si="16"/>
        <v>x</v>
      </c>
      <c r="DN34" s="56" t="str">
        <f t="shared" si="16"/>
        <v>x</v>
      </c>
      <c r="DO34" s="56" t="str">
        <f t="shared" si="16"/>
        <v>x</v>
      </c>
    </row>
    <row r="35" spans="1:119" s="15" customFormat="1" ht="52.5" customHeight="1" thickBot="1">
      <c r="A35" s="52"/>
      <c r="B35" s="30" t="s">
        <v>123</v>
      </c>
      <c r="C35" s="29" t="s">
        <v>205</v>
      </c>
      <c r="D35" s="130" t="s">
        <v>240</v>
      </c>
      <c r="E35" s="23" t="s">
        <v>163</v>
      </c>
      <c r="F35" s="36" t="s">
        <v>3</v>
      </c>
      <c r="G35" s="37"/>
      <c r="H35" s="37">
        <v>7</v>
      </c>
      <c r="I35" s="37"/>
      <c r="J35" s="119"/>
      <c r="K35" s="56" t="str">
        <f t="shared" si="20"/>
        <v>x</v>
      </c>
      <c r="L35" s="56" t="str">
        <f t="shared" si="20"/>
        <v>x</v>
      </c>
      <c r="M35" s="56" t="str">
        <f t="shared" si="20"/>
        <v>x</v>
      </c>
      <c r="N35" s="56" t="str">
        <f t="shared" si="20"/>
        <v>x</v>
      </c>
      <c r="O35" s="56" t="str">
        <f t="shared" si="20"/>
        <v>x</v>
      </c>
      <c r="P35" s="56" t="str">
        <f t="shared" si="20"/>
        <v>x</v>
      </c>
      <c r="Q35" s="56" t="str">
        <f t="shared" si="20"/>
        <v>x</v>
      </c>
      <c r="R35" s="56" t="str">
        <f t="shared" si="20"/>
        <v>x</v>
      </c>
      <c r="S35" s="56" t="str">
        <f t="shared" si="20"/>
        <v>x</v>
      </c>
      <c r="T35" s="56" t="str">
        <f t="shared" si="20"/>
        <v>x</v>
      </c>
      <c r="U35" s="56" t="str">
        <f t="shared" si="21"/>
        <v>x</v>
      </c>
      <c r="V35" s="56" t="str">
        <f t="shared" si="21"/>
        <v>x</v>
      </c>
      <c r="W35" s="56" t="str">
        <f t="shared" si="21"/>
        <v>x</v>
      </c>
      <c r="X35" s="56" t="str">
        <f t="shared" si="21"/>
        <v>x</v>
      </c>
      <c r="Y35" s="56" t="str">
        <f t="shared" si="21"/>
        <v>x</v>
      </c>
      <c r="Z35" s="56" t="str">
        <f t="shared" si="21"/>
        <v>x</v>
      </c>
      <c r="AA35" s="56" t="str">
        <f t="shared" si="21"/>
        <v>x</v>
      </c>
      <c r="AB35" s="56" t="str">
        <f t="shared" si="21"/>
        <v>x</v>
      </c>
      <c r="AC35" s="56" t="str">
        <f t="shared" si="21"/>
        <v>x</v>
      </c>
      <c r="AD35" s="56" t="str">
        <f t="shared" si="21"/>
        <v>x</v>
      </c>
      <c r="AE35" s="56" t="str">
        <f t="shared" si="19"/>
        <v>x</v>
      </c>
      <c r="AF35" s="56" t="str">
        <f t="shared" si="19"/>
        <v>x</v>
      </c>
      <c r="AG35" s="56" t="str">
        <f t="shared" si="19"/>
        <v>x</v>
      </c>
      <c r="AH35" s="56" t="str">
        <f t="shared" si="19"/>
        <v>x</v>
      </c>
      <c r="AI35" s="56" t="str">
        <f t="shared" si="19"/>
        <v>x</v>
      </c>
      <c r="AJ35" s="56" t="str">
        <f t="shared" si="19"/>
        <v>x</v>
      </c>
      <c r="AK35" s="56" t="str">
        <f t="shared" ref="AE35:AT49" si="31">IFERROR(IF(SEARCH(AK$5,$D35),$F35,"-"),"x")</f>
        <v>x</v>
      </c>
      <c r="AL35" s="56" t="str">
        <f t="shared" si="31"/>
        <v>--</v>
      </c>
      <c r="AM35" s="56" t="str">
        <f t="shared" si="31"/>
        <v>x</v>
      </c>
      <c r="AN35" s="56" t="str">
        <f t="shared" si="31"/>
        <v>x</v>
      </c>
      <c r="AO35" s="56" t="str">
        <f t="shared" si="31"/>
        <v>x</v>
      </c>
      <c r="AP35" s="56" t="str">
        <f t="shared" si="31"/>
        <v>x</v>
      </c>
      <c r="AQ35" s="56" t="str">
        <f t="shared" si="31"/>
        <v>x</v>
      </c>
      <c r="AR35" s="56" t="str">
        <f t="shared" si="31"/>
        <v>x</v>
      </c>
      <c r="AS35" s="56" t="str">
        <f t="shared" si="31"/>
        <v>x</v>
      </c>
      <c r="AT35" s="56" t="str">
        <f t="shared" si="18"/>
        <v>x</v>
      </c>
      <c r="AU35" s="56" t="str">
        <f t="shared" si="18"/>
        <v>x</v>
      </c>
      <c r="AV35" s="56" t="str">
        <f t="shared" si="18"/>
        <v>x</v>
      </c>
      <c r="AW35" s="56" t="str">
        <f t="shared" si="18"/>
        <v>x</v>
      </c>
      <c r="AX35" s="56" t="str">
        <f t="shared" si="18"/>
        <v>x</v>
      </c>
      <c r="AY35" s="56" t="str">
        <f t="shared" si="18"/>
        <v>x</v>
      </c>
      <c r="AZ35" s="56" t="str">
        <f t="shared" si="18"/>
        <v>x</v>
      </c>
      <c r="BA35" s="56" t="str">
        <f t="shared" si="18"/>
        <v>x</v>
      </c>
      <c r="BB35" s="56" t="str">
        <f t="shared" si="18"/>
        <v>x</v>
      </c>
      <c r="BC35" s="56" t="str">
        <f t="shared" si="14"/>
        <v>x</v>
      </c>
      <c r="BD35" s="56" t="str">
        <f t="shared" si="14"/>
        <v>x</v>
      </c>
      <c r="BE35" s="56" t="str">
        <f t="shared" si="14"/>
        <v>x</v>
      </c>
      <c r="BF35" s="56" t="str">
        <f t="shared" si="14"/>
        <v>x</v>
      </c>
      <c r="BG35" s="56" t="str">
        <f t="shared" si="14"/>
        <v>x</v>
      </c>
      <c r="BH35" s="56" t="str">
        <f t="shared" si="14"/>
        <v>x</v>
      </c>
      <c r="BI35" s="56" t="str">
        <f t="shared" si="14"/>
        <v>x</v>
      </c>
      <c r="BJ35" s="56" t="str">
        <f t="shared" si="14"/>
        <v>x</v>
      </c>
      <c r="BK35" s="56" t="str">
        <f t="shared" si="24"/>
        <v>x</v>
      </c>
      <c r="BL35" s="56" t="str">
        <f t="shared" si="24"/>
        <v>x</v>
      </c>
      <c r="BM35" s="56" t="str">
        <f t="shared" si="24"/>
        <v>x</v>
      </c>
      <c r="BN35" s="56" t="str">
        <f t="shared" si="24"/>
        <v>x</v>
      </c>
      <c r="BO35" s="56" t="str">
        <f t="shared" si="24"/>
        <v>x</v>
      </c>
      <c r="BP35" s="56" t="str">
        <f t="shared" si="24"/>
        <v>x</v>
      </c>
      <c r="BQ35" s="56" t="str">
        <f t="shared" si="24"/>
        <v>x</v>
      </c>
      <c r="BR35" s="56" t="str">
        <f t="shared" si="24"/>
        <v>x</v>
      </c>
      <c r="BS35" s="56" t="str">
        <f t="shared" si="24"/>
        <v>x</v>
      </c>
      <c r="BT35" s="56" t="str">
        <f t="shared" si="24"/>
        <v>x</v>
      </c>
      <c r="BU35" s="56" t="str">
        <f t="shared" si="24"/>
        <v>x</v>
      </c>
      <c r="BV35" s="56" t="str">
        <f t="shared" si="24"/>
        <v>x</v>
      </c>
      <c r="BW35" s="56" t="str">
        <f t="shared" si="24"/>
        <v>x</v>
      </c>
      <c r="BX35" s="56" t="str">
        <f t="shared" si="24"/>
        <v>x</v>
      </c>
      <c r="BY35" s="56" t="str">
        <f t="shared" si="24"/>
        <v>x</v>
      </c>
      <c r="BZ35" s="56" t="str">
        <f t="shared" si="23"/>
        <v>x</v>
      </c>
      <c r="CA35" s="56" t="str">
        <f t="shared" si="23"/>
        <v>--</v>
      </c>
      <c r="CB35" s="56" t="str">
        <f t="shared" si="23"/>
        <v>x</v>
      </c>
      <c r="CC35" s="56" t="str">
        <f t="shared" si="23"/>
        <v>x</v>
      </c>
      <c r="CD35" s="56" t="str">
        <f t="shared" si="23"/>
        <v>x</v>
      </c>
      <c r="CE35" s="56" t="str">
        <f t="shared" si="23"/>
        <v>x</v>
      </c>
      <c r="CF35" s="56" t="str">
        <f t="shared" si="23"/>
        <v>x</v>
      </c>
      <c r="CG35" s="56" t="str">
        <f t="shared" si="23"/>
        <v>x</v>
      </c>
      <c r="CH35" s="56" t="str">
        <f t="shared" si="23"/>
        <v>x</v>
      </c>
      <c r="CI35" s="56" t="str">
        <f t="shared" si="23"/>
        <v>x</v>
      </c>
      <c r="CJ35" s="56" t="str">
        <f t="shared" si="23"/>
        <v>x</v>
      </c>
      <c r="CK35" s="56" t="str">
        <f t="shared" si="23"/>
        <v>x</v>
      </c>
      <c r="CL35" s="56" t="str">
        <f t="shared" si="23"/>
        <v>x</v>
      </c>
      <c r="CM35" s="56" t="str">
        <f t="shared" si="23"/>
        <v>x</v>
      </c>
      <c r="CN35" s="56" t="str">
        <f t="shared" si="23"/>
        <v>x</v>
      </c>
      <c r="CO35" s="56" t="str">
        <f t="shared" si="23"/>
        <v>x</v>
      </c>
      <c r="CP35" s="56" t="str">
        <f t="shared" si="22"/>
        <v>x</v>
      </c>
      <c r="CQ35" s="56" t="str">
        <f t="shared" si="22"/>
        <v>x</v>
      </c>
      <c r="CR35" s="56" t="str">
        <f t="shared" si="22"/>
        <v>x</v>
      </c>
      <c r="CS35" s="56" t="str">
        <f t="shared" si="22"/>
        <v>x</v>
      </c>
      <c r="CT35" s="56" t="str">
        <f t="shared" si="22"/>
        <v>x</v>
      </c>
      <c r="CU35" s="56" t="str">
        <f t="shared" si="22"/>
        <v>x</v>
      </c>
      <c r="CV35" s="56" t="str">
        <f t="shared" si="30"/>
        <v>x</v>
      </c>
      <c r="CW35" s="56" t="str">
        <f t="shared" si="30"/>
        <v>x</v>
      </c>
      <c r="CX35" s="56" t="str">
        <f t="shared" si="30"/>
        <v>x</v>
      </c>
      <c r="CY35" s="56" t="str">
        <f t="shared" si="30"/>
        <v>x</v>
      </c>
      <c r="CZ35" s="56" t="str">
        <f t="shared" si="30"/>
        <v>x</v>
      </c>
      <c r="DA35" s="56" t="str">
        <f t="shared" si="30"/>
        <v>x</v>
      </c>
      <c r="DB35" s="56" t="str">
        <f t="shared" si="30"/>
        <v>x</v>
      </c>
      <c r="DC35" s="56" t="str">
        <f t="shared" si="30"/>
        <v>x</v>
      </c>
      <c r="DD35" s="56" t="str">
        <f t="shared" si="30"/>
        <v>x</v>
      </c>
      <c r="DE35" s="56" t="str">
        <f t="shared" si="30"/>
        <v>x</v>
      </c>
      <c r="DF35" s="56" t="str">
        <f t="shared" si="30"/>
        <v>x</v>
      </c>
      <c r="DG35" s="56" t="str">
        <f t="shared" si="30"/>
        <v>x</v>
      </c>
      <c r="DH35" s="56" t="str">
        <f t="shared" si="30"/>
        <v>x</v>
      </c>
      <c r="DI35" s="56" t="str">
        <f t="shared" si="30"/>
        <v>x</v>
      </c>
      <c r="DJ35" s="56" t="str">
        <f t="shared" si="30"/>
        <v>x</v>
      </c>
      <c r="DK35" s="56" t="str">
        <f t="shared" si="30"/>
        <v>x</v>
      </c>
      <c r="DL35" s="56" t="str">
        <f t="shared" si="29"/>
        <v>x</v>
      </c>
      <c r="DM35" s="56" t="str">
        <f t="shared" si="16"/>
        <v>x</v>
      </c>
      <c r="DN35" s="56" t="str">
        <f t="shared" si="16"/>
        <v>x</v>
      </c>
      <c r="DO35" s="56" t="str">
        <f t="shared" si="16"/>
        <v>x</v>
      </c>
    </row>
    <row r="36" spans="1:119" s="18" customFormat="1" ht="44.25" customHeight="1">
      <c r="A36" s="131"/>
      <c r="B36" s="30" t="s">
        <v>12</v>
      </c>
      <c r="C36" s="29" t="s">
        <v>302</v>
      </c>
      <c r="D36" s="130" t="s">
        <v>273</v>
      </c>
      <c r="E36" s="23" t="s">
        <v>163</v>
      </c>
      <c r="F36" s="36" t="s">
        <v>3</v>
      </c>
      <c r="G36" s="37"/>
      <c r="H36" s="37">
        <v>7</v>
      </c>
      <c r="I36" s="37"/>
      <c r="J36" s="119"/>
      <c r="K36" s="56" t="str">
        <f t="shared" si="20"/>
        <v>x</v>
      </c>
      <c r="L36" s="56" t="str">
        <f t="shared" si="20"/>
        <v>x</v>
      </c>
      <c r="M36" s="56" t="str">
        <f t="shared" si="20"/>
        <v>x</v>
      </c>
      <c r="N36" s="56" t="str">
        <f t="shared" si="20"/>
        <v>x</v>
      </c>
      <c r="O36" s="56" t="str">
        <f t="shared" si="20"/>
        <v>x</v>
      </c>
      <c r="P36" s="56" t="str">
        <f t="shared" si="20"/>
        <v>x</v>
      </c>
      <c r="Q36" s="56" t="str">
        <f t="shared" si="20"/>
        <v>x</v>
      </c>
      <c r="R36" s="56" t="str">
        <f t="shared" si="20"/>
        <v>x</v>
      </c>
      <c r="S36" s="56" t="str">
        <f t="shared" si="20"/>
        <v>x</v>
      </c>
      <c r="T36" s="56" t="str">
        <f t="shared" si="20"/>
        <v>x</v>
      </c>
      <c r="U36" s="56" t="str">
        <f t="shared" si="21"/>
        <v>x</v>
      </c>
      <c r="V36" s="56" t="str">
        <f t="shared" si="21"/>
        <v>x</v>
      </c>
      <c r="W36" s="56" t="str">
        <f t="shared" si="21"/>
        <v>x</v>
      </c>
      <c r="X36" s="56" t="str">
        <f t="shared" si="21"/>
        <v>x</v>
      </c>
      <c r="Y36" s="56" t="str">
        <f t="shared" si="21"/>
        <v>x</v>
      </c>
      <c r="Z36" s="56" t="str">
        <f t="shared" si="21"/>
        <v>x</v>
      </c>
      <c r="AA36" s="56" t="str">
        <f t="shared" si="21"/>
        <v>x</v>
      </c>
      <c r="AB36" s="56" t="str">
        <f t="shared" si="21"/>
        <v>x</v>
      </c>
      <c r="AC36" s="56" t="str">
        <f t="shared" si="21"/>
        <v>x</v>
      </c>
      <c r="AD36" s="56" t="str">
        <f t="shared" si="21"/>
        <v>x</v>
      </c>
      <c r="AE36" s="56" t="str">
        <f t="shared" si="31"/>
        <v>x</v>
      </c>
      <c r="AF36" s="56" t="str">
        <f t="shared" si="31"/>
        <v>x</v>
      </c>
      <c r="AG36" s="56" t="str">
        <f t="shared" si="31"/>
        <v>x</v>
      </c>
      <c r="AH36" s="56" t="str">
        <f t="shared" si="31"/>
        <v>x</v>
      </c>
      <c r="AI36" s="56" t="str">
        <f t="shared" si="31"/>
        <v>x</v>
      </c>
      <c r="AJ36" s="56" t="str">
        <f t="shared" si="31"/>
        <v>x</v>
      </c>
      <c r="AK36" s="56" t="str">
        <f t="shared" si="31"/>
        <v>x</v>
      </c>
      <c r="AL36" s="56" t="str">
        <f t="shared" si="31"/>
        <v>x</v>
      </c>
      <c r="AM36" s="56" t="str">
        <f t="shared" si="31"/>
        <v>--</v>
      </c>
      <c r="AN36" s="56" t="str">
        <f t="shared" si="31"/>
        <v>x</v>
      </c>
      <c r="AO36" s="56" t="str">
        <f t="shared" si="31"/>
        <v>x</v>
      </c>
      <c r="AP36" s="56" t="str">
        <f t="shared" si="31"/>
        <v>x</v>
      </c>
      <c r="AQ36" s="56" t="str">
        <f t="shared" si="31"/>
        <v>x</v>
      </c>
      <c r="AR36" s="56" t="str">
        <f t="shared" si="31"/>
        <v>x</v>
      </c>
      <c r="AS36" s="56" t="str">
        <f t="shared" si="31"/>
        <v>x</v>
      </c>
      <c r="AT36" s="56" t="str">
        <f t="shared" si="18"/>
        <v>x</v>
      </c>
      <c r="AU36" s="56" t="str">
        <f t="shared" si="18"/>
        <v>x</v>
      </c>
      <c r="AV36" s="56" t="str">
        <f t="shared" si="18"/>
        <v>x</v>
      </c>
      <c r="AW36" s="56" t="str">
        <f t="shared" si="18"/>
        <v>x</v>
      </c>
      <c r="AX36" s="56" t="str">
        <f t="shared" si="18"/>
        <v>x</v>
      </c>
      <c r="AY36" s="56" t="str">
        <f t="shared" si="18"/>
        <v>x</v>
      </c>
      <c r="AZ36" s="56" t="str">
        <f t="shared" si="18"/>
        <v>x</v>
      </c>
      <c r="BA36" s="56" t="str">
        <f t="shared" si="18"/>
        <v>x</v>
      </c>
      <c r="BB36" s="56" t="str">
        <f t="shared" si="18"/>
        <v>x</v>
      </c>
      <c r="BC36" s="56" t="str">
        <f t="shared" si="14"/>
        <v>x</v>
      </c>
      <c r="BD36" s="56" t="str">
        <f t="shared" si="14"/>
        <v>x</v>
      </c>
      <c r="BE36" s="56" t="str">
        <f t="shared" si="14"/>
        <v>x</v>
      </c>
      <c r="BF36" s="56" t="str">
        <f t="shared" si="14"/>
        <v>x</v>
      </c>
      <c r="BG36" s="56" t="str">
        <f t="shared" si="14"/>
        <v>x</v>
      </c>
      <c r="BH36" s="56" t="str">
        <f t="shared" si="14"/>
        <v>x</v>
      </c>
      <c r="BI36" s="56" t="str">
        <f t="shared" si="14"/>
        <v>x</v>
      </c>
      <c r="BJ36" s="56" t="str">
        <f t="shared" ref="BJ36:BY68" si="32">IFERROR(IF(SEARCH(BJ$5,$D36),$F36,"-"),"x")</f>
        <v>x</v>
      </c>
      <c r="BK36" s="56" t="str">
        <f t="shared" si="32"/>
        <v>x</v>
      </c>
      <c r="BL36" s="56" t="str">
        <f t="shared" si="32"/>
        <v>x</v>
      </c>
      <c r="BM36" s="56" t="str">
        <f t="shared" si="32"/>
        <v>x</v>
      </c>
      <c r="BN36" s="56" t="str">
        <f t="shared" si="32"/>
        <v>x</v>
      </c>
      <c r="BO36" s="56" t="str">
        <f t="shared" si="32"/>
        <v>x</v>
      </c>
      <c r="BP36" s="56" t="str">
        <f t="shared" si="32"/>
        <v>x</v>
      </c>
      <c r="BQ36" s="56" t="str">
        <f t="shared" si="32"/>
        <v>x</v>
      </c>
      <c r="BR36" s="56" t="str">
        <f t="shared" si="32"/>
        <v>x</v>
      </c>
      <c r="BS36" s="56" t="str">
        <f t="shared" si="32"/>
        <v>x</v>
      </c>
      <c r="BT36" s="56" t="str">
        <f t="shared" si="32"/>
        <v>x</v>
      </c>
      <c r="BU36" s="56" t="str">
        <f t="shared" si="32"/>
        <v>x</v>
      </c>
      <c r="BV36" s="56" t="str">
        <f t="shared" si="32"/>
        <v>x</v>
      </c>
      <c r="BW36" s="56" t="str">
        <f t="shared" si="32"/>
        <v>x</v>
      </c>
      <c r="BX36" s="56" t="str">
        <f t="shared" si="32"/>
        <v>x</v>
      </c>
      <c r="BY36" s="56" t="str">
        <f t="shared" si="32"/>
        <v>x</v>
      </c>
      <c r="BZ36" s="56" t="str">
        <f t="shared" si="23"/>
        <v>x</v>
      </c>
      <c r="CA36" s="56" t="str">
        <f t="shared" si="23"/>
        <v>--</v>
      </c>
      <c r="CB36" s="56" t="str">
        <f t="shared" si="23"/>
        <v>x</v>
      </c>
      <c r="CC36" s="56" t="str">
        <f t="shared" si="23"/>
        <v>x</v>
      </c>
      <c r="CD36" s="56" t="str">
        <f t="shared" si="23"/>
        <v>x</v>
      </c>
      <c r="CE36" s="56" t="str">
        <f t="shared" si="23"/>
        <v>x</v>
      </c>
      <c r="CF36" s="56" t="str">
        <f t="shared" si="23"/>
        <v>x</v>
      </c>
      <c r="CG36" s="56" t="str">
        <f t="shared" si="23"/>
        <v>x</v>
      </c>
      <c r="CH36" s="56" t="str">
        <f t="shared" si="23"/>
        <v>x</v>
      </c>
      <c r="CI36" s="56" t="str">
        <f t="shared" si="23"/>
        <v>x</v>
      </c>
      <c r="CJ36" s="56" t="str">
        <f t="shared" si="23"/>
        <v>x</v>
      </c>
      <c r="CK36" s="56" t="str">
        <f t="shared" si="23"/>
        <v>x</v>
      </c>
      <c r="CL36" s="56" t="str">
        <f t="shared" si="23"/>
        <v>x</v>
      </c>
      <c r="CM36" s="56" t="str">
        <f t="shared" si="23"/>
        <v>x</v>
      </c>
      <c r="CN36" s="56" t="str">
        <f t="shared" si="23"/>
        <v>x</v>
      </c>
      <c r="CO36" s="56" t="str">
        <f t="shared" si="23"/>
        <v>x</v>
      </c>
      <c r="CP36" s="56" t="str">
        <f t="shared" si="22"/>
        <v>x</v>
      </c>
      <c r="CQ36" s="56" t="str">
        <f t="shared" si="22"/>
        <v>x</v>
      </c>
      <c r="CR36" s="56" t="str">
        <f t="shared" si="22"/>
        <v>x</v>
      </c>
      <c r="CS36" s="56" t="str">
        <f t="shared" si="22"/>
        <v>x</v>
      </c>
      <c r="CT36" s="56" t="str">
        <f t="shared" si="22"/>
        <v>x</v>
      </c>
      <c r="CU36" s="56" t="str">
        <f t="shared" si="22"/>
        <v>x</v>
      </c>
      <c r="CV36" s="56" t="str">
        <f t="shared" si="30"/>
        <v>x</v>
      </c>
      <c r="CW36" s="56" t="str">
        <f t="shared" si="30"/>
        <v>x</v>
      </c>
      <c r="CX36" s="56" t="str">
        <f t="shared" si="30"/>
        <v>x</v>
      </c>
      <c r="CY36" s="56" t="str">
        <f t="shared" si="30"/>
        <v>x</v>
      </c>
      <c r="CZ36" s="56" t="str">
        <f t="shared" si="30"/>
        <v>x</v>
      </c>
      <c r="DA36" s="56" t="str">
        <f t="shared" si="30"/>
        <v>x</v>
      </c>
      <c r="DB36" s="56" t="str">
        <f t="shared" si="30"/>
        <v>x</v>
      </c>
      <c r="DC36" s="56" t="str">
        <f t="shared" si="30"/>
        <v>x</v>
      </c>
      <c r="DD36" s="56" t="str">
        <f t="shared" si="30"/>
        <v>x</v>
      </c>
      <c r="DE36" s="56" t="str">
        <f t="shared" si="30"/>
        <v>x</v>
      </c>
      <c r="DF36" s="56" t="str">
        <f t="shared" si="30"/>
        <v>x</v>
      </c>
      <c r="DG36" s="56" t="str">
        <f t="shared" si="30"/>
        <v>x</v>
      </c>
      <c r="DH36" s="56" t="str">
        <f t="shared" si="30"/>
        <v>x</v>
      </c>
      <c r="DI36" s="56" t="str">
        <f t="shared" si="30"/>
        <v>x</v>
      </c>
      <c r="DJ36" s="56" t="str">
        <f t="shared" si="30"/>
        <v>x</v>
      </c>
      <c r="DK36" s="56" t="str">
        <f t="shared" si="30"/>
        <v>x</v>
      </c>
      <c r="DL36" s="56" t="str">
        <f t="shared" si="29"/>
        <v>x</v>
      </c>
      <c r="DM36" s="56" t="str">
        <f t="shared" si="16"/>
        <v>x</v>
      </c>
      <c r="DN36" s="56" t="str">
        <f t="shared" si="16"/>
        <v>x</v>
      </c>
      <c r="DO36" s="56" t="str">
        <f t="shared" si="16"/>
        <v>x</v>
      </c>
    </row>
    <row r="37" spans="1:119" ht="19.5" customHeight="1">
      <c r="A37" s="52"/>
      <c r="B37" s="30" t="s">
        <v>124</v>
      </c>
      <c r="C37" s="29" t="s">
        <v>206</v>
      </c>
      <c r="D37" s="130" t="s">
        <v>242</v>
      </c>
      <c r="E37" s="23" t="s">
        <v>163</v>
      </c>
      <c r="F37" s="36" t="s">
        <v>3</v>
      </c>
      <c r="G37" s="37"/>
      <c r="H37" s="37">
        <v>7</v>
      </c>
      <c r="I37" s="37"/>
      <c r="J37" s="119"/>
      <c r="K37" s="56" t="str">
        <f t="shared" si="20"/>
        <v>x</v>
      </c>
      <c r="L37" s="56" t="str">
        <f t="shared" si="20"/>
        <v>x</v>
      </c>
      <c r="M37" s="56" t="str">
        <f t="shared" si="20"/>
        <v>x</v>
      </c>
      <c r="N37" s="56" t="str">
        <f t="shared" si="20"/>
        <v>x</v>
      </c>
      <c r="O37" s="56" t="str">
        <f t="shared" si="20"/>
        <v>x</v>
      </c>
      <c r="P37" s="56" t="str">
        <f t="shared" si="20"/>
        <v>x</v>
      </c>
      <c r="Q37" s="56" t="str">
        <f t="shared" si="20"/>
        <v>x</v>
      </c>
      <c r="R37" s="56" t="str">
        <f t="shared" si="20"/>
        <v>x</v>
      </c>
      <c r="S37" s="56" t="str">
        <f t="shared" si="20"/>
        <v>x</v>
      </c>
      <c r="T37" s="56" t="str">
        <f t="shared" si="20"/>
        <v>x</v>
      </c>
      <c r="U37" s="56" t="str">
        <f t="shared" si="21"/>
        <v>x</v>
      </c>
      <c r="V37" s="56" t="str">
        <f t="shared" si="21"/>
        <v>x</v>
      </c>
      <c r="W37" s="56" t="str">
        <f t="shared" si="21"/>
        <v>x</v>
      </c>
      <c r="X37" s="56" t="str">
        <f t="shared" si="21"/>
        <v>x</v>
      </c>
      <c r="Y37" s="56" t="str">
        <f t="shared" si="21"/>
        <v>x</v>
      </c>
      <c r="Z37" s="56" t="str">
        <f t="shared" si="21"/>
        <v>x</v>
      </c>
      <c r="AA37" s="56" t="str">
        <f t="shared" si="21"/>
        <v>x</v>
      </c>
      <c r="AB37" s="56" t="str">
        <f t="shared" si="21"/>
        <v>x</v>
      </c>
      <c r="AC37" s="56" t="str">
        <f t="shared" si="21"/>
        <v>x</v>
      </c>
      <c r="AD37" s="56" t="str">
        <f t="shared" si="21"/>
        <v>x</v>
      </c>
      <c r="AE37" s="56" t="str">
        <f t="shared" si="31"/>
        <v>x</v>
      </c>
      <c r="AF37" s="56" t="str">
        <f t="shared" si="31"/>
        <v>x</v>
      </c>
      <c r="AG37" s="56" t="str">
        <f t="shared" si="31"/>
        <v>x</v>
      </c>
      <c r="AH37" s="56" t="str">
        <f t="shared" si="31"/>
        <v>x</v>
      </c>
      <c r="AI37" s="56" t="str">
        <f t="shared" si="31"/>
        <v>x</v>
      </c>
      <c r="AJ37" s="56" t="str">
        <f t="shared" si="31"/>
        <v>x</v>
      </c>
      <c r="AK37" s="56" t="str">
        <f t="shared" si="31"/>
        <v>x</v>
      </c>
      <c r="AL37" s="56" t="str">
        <f t="shared" si="31"/>
        <v>x</v>
      </c>
      <c r="AM37" s="56" t="str">
        <f t="shared" si="31"/>
        <v>x</v>
      </c>
      <c r="AN37" s="56" t="str">
        <f t="shared" si="31"/>
        <v>x</v>
      </c>
      <c r="AO37" s="56" t="str">
        <f t="shared" si="31"/>
        <v>--</v>
      </c>
      <c r="AP37" s="56" t="str">
        <f t="shared" si="31"/>
        <v>x</v>
      </c>
      <c r="AQ37" s="56" t="str">
        <f t="shared" si="31"/>
        <v>x</v>
      </c>
      <c r="AR37" s="56" t="str">
        <f t="shared" si="31"/>
        <v>x</v>
      </c>
      <c r="AS37" s="56" t="str">
        <f t="shared" si="31"/>
        <v>x</v>
      </c>
      <c r="AT37" s="56" t="str">
        <f t="shared" si="18"/>
        <v>x</v>
      </c>
      <c r="AU37" s="56" t="str">
        <f t="shared" si="18"/>
        <v>x</v>
      </c>
      <c r="AV37" s="56" t="str">
        <f t="shared" si="18"/>
        <v>x</v>
      </c>
      <c r="AW37" s="56" t="str">
        <f t="shared" si="18"/>
        <v>x</v>
      </c>
      <c r="AX37" s="56" t="str">
        <f t="shared" si="18"/>
        <v>x</v>
      </c>
      <c r="AY37" s="56" t="str">
        <f t="shared" si="18"/>
        <v>x</v>
      </c>
      <c r="AZ37" s="56" t="str">
        <f t="shared" si="18"/>
        <v>x</v>
      </c>
      <c r="BA37" s="56" t="str">
        <f t="shared" si="18"/>
        <v>x</v>
      </c>
      <c r="BB37" s="56" t="str">
        <f t="shared" si="18"/>
        <v>x</v>
      </c>
      <c r="BC37" s="56" t="str">
        <f t="shared" ref="BC37:BR62" si="33">IFERROR(IF(SEARCH(BC$5,$D37),$F37,"-"),"x")</f>
        <v>x</v>
      </c>
      <c r="BD37" s="56" t="str">
        <f t="shared" si="33"/>
        <v>x</v>
      </c>
      <c r="BE37" s="56" t="str">
        <f t="shared" si="33"/>
        <v>x</v>
      </c>
      <c r="BF37" s="56" t="str">
        <f t="shared" si="33"/>
        <v>x</v>
      </c>
      <c r="BG37" s="56" t="str">
        <f t="shared" si="33"/>
        <v>x</v>
      </c>
      <c r="BH37" s="56" t="str">
        <f t="shared" si="33"/>
        <v>x</v>
      </c>
      <c r="BI37" s="56" t="str">
        <f t="shared" si="33"/>
        <v>x</v>
      </c>
      <c r="BJ37" s="56" t="str">
        <f t="shared" si="33"/>
        <v>x</v>
      </c>
      <c r="BK37" s="56" t="str">
        <f t="shared" si="33"/>
        <v>x</v>
      </c>
      <c r="BL37" s="56" t="str">
        <f t="shared" si="33"/>
        <v>x</v>
      </c>
      <c r="BM37" s="56" t="str">
        <f t="shared" si="33"/>
        <v>x</v>
      </c>
      <c r="BN37" s="56" t="str">
        <f t="shared" si="33"/>
        <v>x</v>
      </c>
      <c r="BO37" s="56" t="str">
        <f t="shared" si="33"/>
        <v>x</v>
      </c>
      <c r="BP37" s="56" t="str">
        <f t="shared" si="33"/>
        <v>x</v>
      </c>
      <c r="BQ37" s="56" t="str">
        <f t="shared" si="33"/>
        <v>x</v>
      </c>
      <c r="BR37" s="56" t="str">
        <f t="shared" si="33"/>
        <v>x</v>
      </c>
      <c r="BS37" s="56" t="str">
        <f t="shared" si="32"/>
        <v>x</v>
      </c>
      <c r="BT37" s="56" t="str">
        <f t="shared" si="32"/>
        <v>x</v>
      </c>
      <c r="BU37" s="56" t="str">
        <f t="shared" si="32"/>
        <v>x</v>
      </c>
      <c r="BV37" s="56" t="str">
        <f t="shared" si="32"/>
        <v>x</v>
      </c>
      <c r="BW37" s="56" t="str">
        <f t="shared" si="32"/>
        <v>x</v>
      </c>
      <c r="BX37" s="56" t="str">
        <f t="shared" si="32"/>
        <v>x</v>
      </c>
      <c r="BY37" s="56" t="str">
        <f t="shared" si="32"/>
        <v>x</v>
      </c>
      <c r="BZ37" s="56" t="str">
        <f t="shared" si="23"/>
        <v>x</v>
      </c>
      <c r="CA37" s="56" t="str">
        <f t="shared" si="23"/>
        <v>--</v>
      </c>
      <c r="CB37" s="56" t="str">
        <f t="shared" si="23"/>
        <v>x</v>
      </c>
      <c r="CC37" s="56" t="str">
        <f t="shared" si="23"/>
        <v>x</v>
      </c>
      <c r="CD37" s="56" t="str">
        <f t="shared" si="23"/>
        <v>x</v>
      </c>
      <c r="CE37" s="56" t="str">
        <f t="shared" si="23"/>
        <v>x</v>
      </c>
      <c r="CF37" s="56" t="str">
        <f t="shared" si="23"/>
        <v>x</v>
      </c>
      <c r="CG37" s="56" t="str">
        <f t="shared" si="23"/>
        <v>x</v>
      </c>
      <c r="CH37" s="56" t="str">
        <f t="shared" si="23"/>
        <v>x</v>
      </c>
      <c r="CI37" s="56" t="str">
        <f t="shared" si="23"/>
        <v>x</v>
      </c>
      <c r="CJ37" s="56" t="str">
        <f t="shared" si="23"/>
        <v>x</v>
      </c>
      <c r="CK37" s="56" t="str">
        <f t="shared" si="23"/>
        <v>x</v>
      </c>
      <c r="CL37" s="56" t="str">
        <f t="shared" si="23"/>
        <v>x</v>
      </c>
      <c r="CM37" s="56" t="str">
        <f t="shared" si="23"/>
        <v>x</v>
      </c>
      <c r="CN37" s="56" t="str">
        <f t="shared" si="23"/>
        <v>x</v>
      </c>
      <c r="CO37" s="56" t="str">
        <f t="shared" si="23"/>
        <v>x</v>
      </c>
      <c r="CP37" s="56" t="str">
        <f t="shared" si="22"/>
        <v>x</v>
      </c>
      <c r="CQ37" s="56" t="str">
        <f t="shared" si="22"/>
        <v>x</v>
      </c>
      <c r="CR37" s="56" t="str">
        <f t="shared" si="22"/>
        <v>x</v>
      </c>
      <c r="CS37" s="56" t="str">
        <f t="shared" si="22"/>
        <v>x</v>
      </c>
      <c r="CT37" s="56" t="str">
        <f t="shared" si="22"/>
        <v>x</v>
      </c>
      <c r="CU37" s="56" t="str">
        <f t="shared" si="22"/>
        <v>x</v>
      </c>
      <c r="CV37" s="56" t="str">
        <f t="shared" si="30"/>
        <v>x</v>
      </c>
      <c r="CW37" s="56" t="str">
        <f t="shared" si="30"/>
        <v>x</v>
      </c>
      <c r="CX37" s="56" t="str">
        <f t="shared" si="30"/>
        <v>x</v>
      </c>
      <c r="CY37" s="56" t="str">
        <f t="shared" si="30"/>
        <v>x</v>
      </c>
      <c r="CZ37" s="56" t="str">
        <f t="shared" si="30"/>
        <v>x</v>
      </c>
      <c r="DA37" s="56" t="str">
        <f t="shared" si="30"/>
        <v>x</v>
      </c>
      <c r="DB37" s="56" t="str">
        <f t="shared" si="30"/>
        <v>x</v>
      </c>
      <c r="DC37" s="56" t="str">
        <f t="shared" si="30"/>
        <v>x</v>
      </c>
      <c r="DD37" s="56" t="str">
        <f t="shared" si="30"/>
        <v>x</v>
      </c>
      <c r="DE37" s="56" t="str">
        <f t="shared" si="30"/>
        <v>x</v>
      </c>
      <c r="DF37" s="56" t="str">
        <f t="shared" si="30"/>
        <v>x</v>
      </c>
      <c r="DG37" s="56" t="str">
        <f t="shared" si="30"/>
        <v>x</v>
      </c>
      <c r="DH37" s="56" t="str">
        <f t="shared" si="30"/>
        <v>x</v>
      </c>
      <c r="DI37" s="56" t="str">
        <f t="shared" si="30"/>
        <v>x</v>
      </c>
      <c r="DJ37" s="56" t="str">
        <f t="shared" si="30"/>
        <v>x</v>
      </c>
      <c r="DK37" s="56" t="str">
        <f t="shared" si="30"/>
        <v>x</v>
      </c>
      <c r="DL37" s="56" t="str">
        <f t="shared" si="29"/>
        <v>x</v>
      </c>
      <c r="DM37" s="56" t="str">
        <f t="shared" si="16"/>
        <v>x</v>
      </c>
      <c r="DN37" s="56" t="str">
        <f t="shared" si="16"/>
        <v>x</v>
      </c>
      <c r="DO37" s="56" t="str">
        <f t="shared" si="16"/>
        <v>x</v>
      </c>
    </row>
    <row r="38" spans="1:119" ht="28.8">
      <c r="A38" s="52"/>
      <c r="B38" s="30" t="s">
        <v>125</v>
      </c>
      <c r="C38" s="29" t="s">
        <v>303</v>
      </c>
      <c r="D38" s="130" t="s">
        <v>243</v>
      </c>
      <c r="E38" s="23" t="s">
        <v>176</v>
      </c>
      <c r="F38" s="36" t="s">
        <v>3</v>
      </c>
      <c r="G38" s="37"/>
      <c r="H38" s="37">
        <v>7</v>
      </c>
      <c r="I38" s="37"/>
      <c r="J38" s="119"/>
      <c r="K38" s="56" t="str">
        <f t="shared" si="20"/>
        <v>x</v>
      </c>
      <c r="L38" s="56" t="str">
        <f t="shared" si="20"/>
        <v>x</v>
      </c>
      <c r="M38" s="56" t="str">
        <f t="shared" si="20"/>
        <v>x</v>
      </c>
      <c r="N38" s="56" t="str">
        <f t="shared" si="20"/>
        <v>x</v>
      </c>
      <c r="O38" s="56" t="str">
        <f t="shared" si="20"/>
        <v>x</v>
      </c>
      <c r="P38" s="56" t="str">
        <f t="shared" si="20"/>
        <v>x</v>
      </c>
      <c r="Q38" s="56" t="str">
        <f t="shared" si="20"/>
        <v>x</v>
      </c>
      <c r="R38" s="56" t="str">
        <f t="shared" si="20"/>
        <v>x</v>
      </c>
      <c r="S38" s="56" t="str">
        <f t="shared" si="20"/>
        <v>x</v>
      </c>
      <c r="T38" s="56" t="str">
        <f t="shared" si="20"/>
        <v>x</v>
      </c>
      <c r="U38" s="56" t="str">
        <f t="shared" si="21"/>
        <v>x</v>
      </c>
      <c r="V38" s="56" t="str">
        <f t="shared" si="21"/>
        <v>x</v>
      </c>
      <c r="W38" s="56" t="str">
        <f t="shared" si="21"/>
        <v>x</v>
      </c>
      <c r="X38" s="56" t="str">
        <f t="shared" si="21"/>
        <v>x</v>
      </c>
      <c r="Y38" s="56" t="str">
        <f t="shared" si="21"/>
        <v>x</v>
      </c>
      <c r="Z38" s="56" t="str">
        <f t="shared" si="21"/>
        <v>x</v>
      </c>
      <c r="AA38" s="56" t="str">
        <f t="shared" si="21"/>
        <v>x</v>
      </c>
      <c r="AB38" s="56" t="str">
        <f t="shared" si="21"/>
        <v>x</v>
      </c>
      <c r="AC38" s="56" t="str">
        <f t="shared" si="21"/>
        <v>x</v>
      </c>
      <c r="AD38" s="56" t="str">
        <f t="shared" si="21"/>
        <v>x</v>
      </c>
      <c r="AE38" s="56" t="str">
        <f t="shared" si="31"/>
        <v>x</v>
      </c>
      <c r="AF38" s="56" t="str">
        <f t="shared" si="31"/>
        <v>x</v>
      </c>
      <c r="AG38" s="56" t="str">
        <f t="shared" si="31"/>
        <v>x</v>
      </c>
      <c r="AH38" s="56" t="str">
        <f t="shared" si="31"/>
        <v>x</v>
      </c>
      <c r="AI38" s="56" t="str">
        <f t="shared" si="31"/>
        <v>x</v>
      </c>
      <c r="AJ38" s="56" t="str">
        <f t="shared" si="31"/>
        <v>x</v>
      </c>
      <c r="AK38" s="56" t="str">
        <f t="shared" si="31"/>
        <v>x</v>
      </c>
      <c r="AL38" s="56" t="str">
        <f t="shared" si="31"/>
        <v>x</v>
      </c>
      <c r="AM38" s="56" t="str">
        <f t="shared" si="31"/>
        <v>x</v>
      </c>
      <c r="AN38" s="56" t="str">
        <f t="shared" si="31"/>
        <v>x</v>
      </c>
      <c r="AO38" s="56" t="str">
        <f t="shared" si="31"/>
        <v>x</v>
      </c>
      <c r="AP38" s="56" t="str">
        <f t="shared" si="31"/>
        <v>--</v>
      </c>
      <c r="AQ38" s="56" t="str">
        <f t="shared" si="31"/>
        <v>x</v>
      </c>
      <c r="AR38" s="56" t="str">
        <f t="shared" si="31"/>
        <v>x</v>
      </c>
      <c r="AS38" s="56" t="str">
        <f t="shared" si="31"/>
        <v>x</v>
      </c>
      <c r="AT38" s="56" t="str">
        <f t="shared" si="18"/>
        <v>x</v>
      </c>
      <c r="AU38" s="56" t="str">
        <f t="shared" si="18"/>
        <v>x</v>
      </c>
      <c r="AV38" s="56" t="str">
        <f t="shared" si="18"/>
        <v>x</v>
      </c>
      <c r="AW38" s="56" t="str">
        <f t="shared" si="18"/>
        <v>x</v>
      </c>
      <c r="AX38" s="56" t="str">
        <f t="shared" si="18"/>
        <v>x</v>
      </c>
      <c r="AY38" s="56" t="str">
        <f t="shared" si="18"/>
        <v>x</v>
      </c>
      <c r="AZ38" s="56" t="str">
        <f t="shared" si="18"/>
        <v>x</v>
      </c>
      <c r="BA38" s="56" t="str">
        <f t="shared" si="18"/>
        <v>x</v>
      </c>
      <c r="BB38" s="56" t="str">
        <f t="shared" si="18"/>
        <v>x</v>
      </c>
      <c r="BC38" s="56" t="str">
        <f t="shared" si="33"/>
        <v>x</v>
      </c>
      <c r="BD38" s="56" t="str">
        <f t="shared" si="33"/>
        <v>x</v>
      </c>
      <c r="BE38" s="56" t="str">
        <f t="shared" si="33"/>
        <v>x</v>
      </c>
      <c r="BF38" s="56" t="str">
        <f t="shared" si="33"/>
        <v>x</v>
      </c>
      <c r="BG38" s="56" t="str">
        <f t="shared" si="33"/>
        <v>x</v>
      </c>
      <c r="BH38" s="56" t="str">
        <f t="shared" si="33"/>
        <v>x</v>
      </c>
      <c r="BI38" s="56" t="str">
        <f t="shared" si="33"/>
        <v>x</v>
      </c>
      <c r="BJ38" s="56" t="str">
        <f t="shared" si="33"/>
        <v>x</v>
      </c>
      <c r="BK38" s="56" t="str">
        <f t="shared" si="33"/>
        <v>x</v>
      </c>
      <c r="BL38" s="56" t="str">
        <f t="shared" si="33"/>
        <v>x</v>
      </c>
      <c r="BM38" s="56" t="str">
        <f t="shared" si="33"/>
        <v>x</v>
      </c>
      <c r="BN38" s="56" t="str">
        <f t="shared" si="33"/>
        <v>x</v>
      </c>
      <c r="BO38" s="56" t="str">
        <f t="shared" si="33"/>
        <v>x</v>
      </c>
      <c r="BP38" s="56" t="str">
        <f t="shared" si="33"/>
        <v>x</v>
      </c>
      <c r="BQ38" s="56" t="str">
        <f t="shared" si="33"/>
        <v>x</v>
      </c>
      <c r="BR38" s="56" t="str">
        <f t="shared" si="33"/>
        <v>x</v>
      </c>
      <c r="BS38" s="56" t="str">
        <f t="shared" si="32"/>
        <v>x</v>
      </c>
      <c r="BT38" s="56" t="str">
        <f t="shared" si="32"/>
        <v>x</v>
      </c>
      <c r="BU38" s="56" t="str">
        <f t="shared" si="32"/>
        <v>x</v>
      </c>
      <c r="BV38" s="56" t="str">
        <f t="shared" si="32"/>
        <v>x</v>
      </c>
      <c r="BW38" s="56" t="str">
        <f t="shared" si="32"/>
        <v>x</v>
      </c>
      <c r="BX38" s="56" t="str">
        <f t="shared" si="32"/>
        <v>x</v>
      </c>
      <c r="BY38" s="56" t="str">
        <f t="shared" si="32"/>
        <v>x</v>
      </c>
      <c r="BZ38" s="56" t="str">
        <f t="shared" si="23"/>
        <v>x</v>
      </c>
      <c r="CA38" s="56" t="str">
        <f t="shared" si="23"/>
        <v>x</v>
      </c>
      <c r="CB38" s="56" t="str">
        <f t="shared" si="23"/>
        <v>x</v>
      </c>
      <c r="CC38" s="56" t="str">
        <f t="shared" si="23"/>
        <v>x</v>
      </c>
      <c r="CD38" s="56" t="str">
        <f t="shared" si="23"/>
        <v>x</v>
      </c>
      <c r="CE38" s="56" t="str">
        <f t="shared" si="23"/>
        <v>x</v>
      </c>
      <c r="CF38" s="56" t="str">
        <f t="shared" si="23"/>
        <v>x</v>
      </c>
      <c r="CG38" s="56" t="str">
        <f t="shared" si="23"/>
        <v>x</v>
      </c>
      <c r="CH38" s="56" t="str">
        <f t="shared" si="23"/>
        <v>x</v>
      </c>
      <c r="CI38" s="56" t="str">
        <f t="shared" si="23"/>
        <v>x</v>
      </c>
      <c r="CJ38" s="56" t="str">
        <f t="shared" si="23"/>
        <v>x</v>
      </c>
      <c r="CK38" s="56" t="str">
        <f t="shared" si="23"/>
        <v>x</v>
      </c>
      <c r="CL38" s="56" t="str">
        <f t="shared" si="23"/>
        <v>x</v>
      </c>
      <c r="CM38" s="56" t="str">
        <f t="shared" si="23"/>
        <v>x</v>
      </c>
      <c r="CN38" s="56" t="str">
        <f t="shared" si="23"/>
        <v>--</v>
      </c>
      <c r="CO38" s="56" t="str">
        <f t="shared" si="23"/>
        <v>x</v>
      </c>
      <c r="CP38" s="56" t="str">
        <f t="shared" si="22"/>
        <v>x</v>
      </c>
      <c r="CQ38" s="56" t="str">
        <f t="shared" si="22"/>
        <v>x</v>
      </c>
      <c r="CR38" s="56" t="str">
        <f t="shared" si="22"/>
        <v>x</v>
      </c>
      <c r="CS38" s="56" t="str">
        <f t="shared" si="22"/>
        <v>x</v>
      </c>
      <c r="CT38" s="56" t="str">
        <f t="shared" si="22"/>
        <v>x</v>
      </c>
      <c r="CU38" s="56" t="str">
        <f t="shared" si="22"/>
        <v>x</v>
      </c>
      <c r="CV38" s="56" t="str">
        <f t="shared" si="30"/>
        <v>x</v>
      </c>
      <c r="CW38" s="56" t="str">
        <f t="shared" si="30"/>
        <v>x</v>
      </c>
      <c r="CX38" s="56" t="str">
        <f t="shared" si="30"/>
        <v>x</v>
      </c>
      <c r="CY38" s="56" t="str">
        <f t="shared" si="30"/>
        <v>x</v>
      </c>
      <c r="CZ38" s="56" t="str">
        <f t="shared" si="30"/>
        <v>x</v>
      </c>
      <c r="DA38" s="56" t="str">
        <f t="shared" si="30"/>
        <v>x</v>
      </c>
      <c r="DB38" s="56" t="str">
        <f t="shared" si="30"/>
        <v>x</v>
      </c>
      <c r="DC38" s="56" t="str">
        <f t="shared" si="30"/>
        <v>x</v>
      </c>
      <c r="DD38" s="56" t="str">
        <f t="shared" si="30"/>
        <v>x</v>
      </c>
      <c r="DE38" s="56" t="str">
        <f t="shared" si="30"/>
        <v>x</v>
      </c>
      <c r="DF38" s="56" t="str">
        <f t="shared" si="30"/>
        <v>x</v>
      </c>
      <c r="DG38" s="56" t="str">
        <f t="shared" si="30"/>
        <v>x</v>
      </c>
      <c r="DH38" s="56" t="str">
        <f t="shared" si="30"/>
        <v>x</v>
      </c>
      <c r="DI38" s="56" t="str">
        <f t="shared" si="30"/>
        <v>x</v>
      </c>
      <c r="DJ38" s="56" t="str">
        <f t="shared" si="30"/>
        <v>x</v>
      </c>
      <c r="DK38" s="56" t="str">
        <f t="shared" si="30"/>
        <v>x</v>
      </c>
      <c r="DL38" s="56" t="str">
        <f t="shared" si="29"/>
        <v>x</v>
      </c>
      <c r="DM38" s="56" t="str">
        <f t="shared" si="16"/>
        <v>x</v>
      </c>
      <c r="DN38" s="56" t="str">
        <f t="shared" si="16"/>
        <v>x</v>
      </c>
      <c r="DO38" s="56" t="str">
        <f t="shared" si="16"/>
        <v>x</v>
      </c>
    </row>
    <row r="39" spans="1:119" ht="28.8">
      <c r="A39" s="52" t="s">
        <v>304</v>
      </c>
      <c r="B39" s="30" t="s">
        <v>122</v>
      </c>
      <c r="C39" s="29" t="s">
        <v>306</v>
      </c>
      <c r="D39" s="130" t="s">
        <v>244</v>
      </c>
      <c r="E39" s="23" t="s">
        <v>179</v>
      </c>
      <c r="F39" s="36" t="s">
        <v>3</v>
      </c>
      <c r="G39" s="37"/>
      <c r="H39" s="37"/>
      <c r="I39" s="37"/>
      <c r="J39" s="118"/>
      <c r="K39" s="56" t="str">
        <f t="shared" si="20"/>
        <v>x</v>
      </c>
      <c r="L39" s="56" t="str">
        <f t="shared" si="20"/>
        <v>x</v>
      </c>
      <c r="M39" s="56" t="str">
        <f t="shared" si="20"/>
        <v>x</v>
      </c>
      <c r="N39" s="56" t="str">
        <f t="shared" si="20"/>
        <v>x</v>
      </c>
      <c r="O39" s="56" t="str">
        <f t="shared" si="20"/>
        <v>x</v>
      </c>
      <c r="P39" s="56" t="str">
        <f t="shared" si="20"/>
        <v>x</v>
      </c>
      <c r="Q39" s="56" t="str">
        <f t="shared" si="20"/>
        <v>x</v>
      </c>
      <c r="R39" s="56" t="str">
        <f t="shared" si="20"/>
        <v>x</v>
      </c>
      <c r="S39" s="56" t="str">
        <f t="shared" si="20"/>
        <v>x</v>
      </c>
      <c r="T39" s="56" t="str">
        <f t="shared" si="20"/>
        <v>x</v>
      </c>
      <c r="U39" s="56" t="str">
        <f t="shared" si="21"/>
        <v>x</v>
      </c>
      <c r="V39" s="56" t="str">
        <f t="shared" si="21"/>
        <v>x</v>
      </c>
      <c r="W39" s="56" t="str">
        <f t="shared" si="21"/>
        <v>x</v>
      </c>
      <c r="X39" s="56" t="str">
        <f t="shared" si="21"/>
        <v>x</v>
      </c>
      <c r="Y39" s="56" t="str">
        <f t="shared" si="21"/>
        <v>x</v>
      </c>
      <c r="Z39" s="56" t="str">
        <f t="shared" si="21"/>
        <v>x</v>
      </c>
      <c r="AA39" s="56" t="str">
        <f t="shared" si="21"/>
        <v>x</v>
      </c>
      <c r="AB39" s="56" t="str">
        <f t="shared" si="21"/>
        <v>x</v>
      </c>
      <c r="AC39" s="56" t="str">
        <f t="shared" si="21"/>
        <v>x</v>
      </c>
      <c r="AD39" s="56" t="str">
        <f t="shared" si="21"/>
        <v>x</v>
      </c>
      <c r="AE39" s="56" t="str">
        <f t="shared" si="31"/>
        <v>x</v>
      </c>
      <c r="AF39" s="56" t="str">
        <f t="shared" si="31"/>
        <v>x</v>
      </c>
      <c r="AG39" s="56" t="str">
        <f t="shared" si="31"/>
        <v>x</v>
      </c>
      <c r="AH39" s="56" t="str">
        <f t="shared" si="31"/>
        <v>x</v>
      </c>
      <c r="AI39" s="56" t="str">
        <f t="shared" si="31"/>
        <v>x</v>
      </c>
      <c r="AJ39" s="56" t="str">
        <f t="shared" si="31"/>
        <v>x</v>
      </c>
      <c r="AK39" s="56" t="str">
        <f t="shared" si="31"/>
        <v>x</v>
      </c>
      <c r="AL39" s="56" t="str">
        <f t="shared" si="31"/>
        <v>x</v>
      </c>
      <c r="AM39" s="56" t="str">
        <f t="shared" si="31"/>
        <v>x</v>
      </c>
      <c r="AN39" s="56" t="str">
        <f t="shared" si="31"/>
        <v>x</v>
      </c>
      <c r="AO39" s="56" t="str">
        <f t="shared" si="31"/>
        <v>x</v>
      </c>
      <c r="AP39" s="56" t="str">
        <f t="shared" si="31"/>
        <v>x</v>
      </c>
      <c r="AQ39" s="56" t="str">
        <f t="shared" si="31"/>
        <v>--</v>
      </c>
      <c r="AR39" s="56" t="str">
        <f t="shared" si="31"/>
        <v>x</v>
      </c>
      <c r="AS39" s="56" t="str">
        <f t="shared" si="31"/>
        <v>x</v>
      </c>
      <c r="AT39" s="56" t="str">
        <f t="shared" si="18"/>
        <v>x</v>
      </c>
      <c r="AU39" s="56" t="str">
        <f t="shared" si="18"/>
        <v>x</v>
      </c>
      <c r="AV39" s="56" t="str">
        <f t="shared" si="18"/>
        <v>x</v>
      </c>
      <c r="AW39" s="56" t="str">
        <f t="shared" si="18"/>
        <v>x</v>
      </c>
      <c r="AX39" s="56" t="str">
        <f t="shared" si="18"/>
        <v>x</v>
      </c>
      <c r="AY39" s="56" t="str">
        <f t="shared" si="18"/>
        <v>x</v>
      </c>
      <c r="AZ39" s="56" t="str">
        <f t="shared" si="18"/>
        <v>x</v>
      </c>
      <c r="BA39" s="56" t="str">
        <f t="shared" si="18"/>
        <v>x</v>
      </c>
      <c r="BB39" s="56" t="str">
        <f t="shared" si="18"/>
        <v>x</v>
      </c>
      <c r="BC39" s="56" t="str">
        <f t="shared" si="33"/>
        <v>x</v>
      </c>
      <c r="BD39" s="56" t="str">
        <f t="shared" si="33"/>
        <v>x</v>
      </c>
      <c r="BE39" s="56" t="str">
        <f t="shared" si="33"/>
        <v>x</v>
      </c>
      <c r="BF39" s="56" t="str">
        <f t="shared" si="33"/>
        <v>x</v>
      </c>
      <c r="BG39" s="56" t="str">
        <f t="shared" si="33"/>
        <v>x</v>
      </c>
      <c r="BH39" s="56" t="str">
        <f t="shared" si="33"/>
        <v>x</v>
      </c>
      <c r="BI39" s="56" t="str">
        <f t="shared" si="33"/>
        <v>x</v>
      </c>
      <c r="BJ39" s="56" t="str">
        <f t="shared" si="33"/>
        <v>x</v>
      </c>
      <c r="BK39" s="56" t="str">
        <f t="shared" si="33"/>
        <v>x</v>
      </c>
      <c r="BL39" s="56" t="str">
        <f t="shared" si="33"/>
        <v>x</v>
      </c>
      <c r="BM39" s="56" t="str">
        <f t="shared" si="33"/>
        <v>x</v>
      </c>
      <c r="BN39" s="56" t="str">
        <f t="shared" si="33"/>
        <v>x</v>
      </c>
      <c r="BO39" s="56" t="str">
        <f t="shared" si="33"/>
        <v>x</v>
      </c>
      <c r="BP39" s="56" t="str">
        <f t="shared" si="33"/>
        <v>x</v>
      </c>
      <c r="BQ39" s="56" t="str">
        <f t="shared" si="33"/>
        <v>x</v>
      </c>
      <c r="BR39" s="56" t="str">
        <f t="shared" si="33"/>
        <v>x</v>
      </c>
      <c r="BS39" s="56" t="str">
        <f t="shared" si="32"/>
        <v>x</v>
      </c>
      <c r="BT39" s="56" t="str">
        <f t="shared" si="32"/>
        <v>x</v>
      </c>
      <c r="BU39" s="56" t="str">
        <f t="shared" si="32"/>
        <v>x</v>
      </c>
      <c r="BV39" s="56" t="str">
        <f t="shared" si="32"/>
        <v>x</v>
      </c>
      <c r="BW39" s="56" t="str">
        <f t="shared" si="32"/>
        <v>x</v>
      </c>
      <c r="BX39" s="56" t="str">
        <f t="shared" si="32"/>
        <v>x</v>
      </c>
      <c r="BY39" s="56" t="str">
        <f t="shared" si="32"/>
        <v>x</v>
      </c>
      <c r="BZ39" s="56" t="str">
        <f t="shared" si="23"/>
        <v>x</v>
      </c>
      <c r="CA39" s="56" t="str">
        <f t="shared" si="23"/>
        <v>x</v>
      </c>
      <c r="CB39" s="56" t="str">
        <f t="shared" si="23"/>
        <v>x</v>
      </c>
      <c r="CC39" s="56" t="str">
        <f t="shared" si="23"/>
        <v>x</v>
      </c>
      <c r="CD39" s="56" t="str">
        <f t="shared" si="23"/>
        <v>x</v>
      </c>
      <c r="CE39" s="56" t="str">
        <f t="shared" si="23"/>
        <v>x</v>
      </c>
      <c r="CF39" s="56" t="str">
        <f t="shared" si="23"/>
        <v>x</v>
      </c>
      <c r="CG39" s="56" t="str">
        <f t="shared" si="23"/>
        <v>x</v>
      </c>
      <c r="CH39" s="56" t="str">
        <f t="shared" si="23"/>
        <v>x</v>
      </c>
      <c r="CI39" s="56" t="str">
        <f t="shared" si="23"/>
        <v>x</v>
      </c>
      <c r="CJ39" s="56" t="str">
        <f t="shared" si="23"/>
        <v>x</v>
      </c>
      <c r="CK39" s="56" t="str">
        <f t="shared" si="23"/>
        <v>x</v>
      </c>
      <c r="CL39" s="56" t="str">
        <f t="shared" si="23"/>
        <v>x</v>
      </c>
      <c r="CM39" s="56" t="str">
        <f t="shared" si="23"/>
        <v>x</v>
      </c>
      <c r="CN39" s="56" t="str">
        <f t="shared" si="23"/>
        <v>x</v>
      </c>
      <c r="CO39" s="56" t="str">
        <f t="shared" si="23"/>
        <v>x</v>
      </c>
      <c r="CP39" s="56" t="str">
        <f t="shared" si="22"/>
        <v>x</v>
      </c>
      <c r="CQ39" s="56" t="str">
        <f t="shared" si="22"/>
        <v>--</v>
      </c>
      <c r="CR39" s="56" t="str">
        <f t="shared" si="22"/>
        <v>x</v>
      </c>
      <c r="CS39" s="56" t="str">
        <f t="shared" si="22"/>
        <v>x</v>
      </c>
      <c r="CT39" s="56" t="str">
        <f t="shared" si="22"/>
        <v>x</v>
      </c>
      <c r="CU39" s="56" t="str">
        <f t="shared" si="22"/>
        <v>x</v>
      </c>
      <c r="CV39" s="56" t="str">
        <f t="shared" si="30"/>
        <v>x</v>
      </c>
      <c r="CW39" s="56" t="str">
        <f t="shared" si="30"/>
        <v>x</v>
      </c>
      <c r="CX39" s="56" t="str">
        <f t="shared" si="30"/>
        <v>x</v>
      </c>
      <c r="CY39" s="56" t="str">
        <f t="shared" si="30"/>
        <v>x</v>
      </c>
      <c r="CZ39" s="56" t="str">
        <f t="shared" si="30"/>
        <v>x</v>
      </c>
      <c r="DA39" s="56" t="str">
        <f t="shared" si="30"/>
        <v>x</v>
      </c>
      <c r="DB39" s="56" t="str">
        <f t="shared" si="30"/>
        <v>x</v>
      </c>
      <c r="DC39" s="56" t="str">
        <f t="shared" si="30"/>
        <v>x</v>
      </c>
      <c r="DD39" s="56" t="str">
        <f t="shared" si="30"/>
        <v>x</v>
      </c>
      <c r="DE39" s="56" t="str">
        <f t="shared" si="30"/>
        <v>x</v>
      </c>
      <c r="DF39" s="56" t="str">
        <f t="shared" si="30"/>
        <v>x</v>
      </c>
      <c r="DG39" s="56" t="str">
        <f t="shared" si="30"/>
        <v>x</v>
      </c>
      <c r="DH39" s="56" t="str">
        <f t="shared" si="30"/>
        <v>x</v>
      </c>
      <c r="DI39" s="56" t="str">
        <f t="shared" si="30"/>
        <v>x</v>
      </c>
      <c r="DJ39" s="56" t="str">
        <f t="shared" si="30"/>
        <v>x</v>
      </c>
      <c r="DK39" s="56" t="str">
        <f t="shared" si="30"/>
        <v>x</v>
      </c>
      <c r="DL39" s="56" t="str">
        <f t="shared" si="29"/>
        <v>x</v>
      </c>
      <c r="DM39" s="56" t="str">
        <f t="shared" si="16"/>
        <v>x</v>
      </c>
      <c r="DN39" s="56" t="str">
        <f t="shared" si="16"/>
        <v>x</v>
      </c>
      <c r="DO39" s="56" t="str">
        <f t="shared" si="16"/>
        <v>x</v>
      </c>
    </row>
    <row r="40" spans="1:119" ht="33" customHeight="1">
      <c r="A40" s="52" t="s">
        <v>305</v>
      </c>
      <c r="B40" s="30" t="s">
        <v>122</v>
      </c>
      <c r="C40" s="29" t="s">
        <v>307</v>
      </c>
      <c r="D40" s="130" t="s">
        <v>245</v>
      </c>
      <c r="E40" s="23" t="s">
        <v>182</v>
      </c>
      <c r="F40" s="36" t="s">
        <v>3</v>
      </c>
      <c r="G40" s="37" t="s">
        <v>8</v>
      </c>
      <c r="H40" s="37"/>
      <c r="I40" s="37"/>
      <c r="J40" s="119"/>
      <c r="K40" s="56" t="str">
        <f t="shared" si="20"/>
        <v>x</v>
      </c>
      <c r="L40" s="56" t="str">
        <f t="shared" si="20"/>
        <v>x</v>
      </c>
      <c r="M40" s="56" t="str">
        <f t="shared" si="20"/>
        <v>x</v>
      </c>
      <c r="N40" s="56" t="str">
        <f t="shared" si="20"/>
        <v>x</v>
      </c>
      <c r="O40" s="56" t="str">
        <f t="shared" si="20"/>
        <v>x</v>
      </c>
      <c r="P40" s="56" t="str">
        <f t="shared" si="20"/>
        <v>x</v>
      </c>
      <c r="Q40" s="56" t="str">
        <f t="shared" si="20"/>
        <v>x</v>
      </c>
      <c r="R40" s="56" t="str">
        <f t="shared" si="20"/>
        <v>x</v>
      </c>
      <c r="S40" s="56" t="str">
        <f t="shared" si="20"/>
        <v>x</v>
      </c>
      <c r="T40" s="56" t="str">
        <f t="shared" si="20"/>
        <v>x</v>
      </c>
      <c r="U40" s="56" t="str">
        <f t="shared" si="21"/>
        <v>x</v>
      </c>
      <c r="V40" s="56" t="str">
        <f t="shared" si="21"/>
        <v>x</v>
      </c>
      <c r="W40" s="56" t="str">
        <f t="shared" si="21"/>
        <v>x</v>
      </c>
      <c r="X40" s="56" t="str">
        <f t="shared" si="21"/>
        <v>x</v>
      </c>
      <c r="Y40" s="56" t="str">
        <f t="shared" si="21"/>
        <v>x</v>
      </c>
      <c r="Z40" s="56" t="str">
        <f t="shared" si="21"/>
        <v>x</v>
      </c>
      <c r="AA40" s="56" t="str">
        <f t="shared" si="21"/>
        <v>x</v>
      </c>
      <c r="AB40" s="56" t="str">
        <f t="shared" si="21"/>
        <v>x</v>
      </c>
      <c r="AC40" s="56" t="str">
        <f t="shared" si="21"/>
        <v>x</v>
      </c>
      <c r="AD40" s="56" t="str">
        <f t="shared" si="21"/>
        <v>x</v>
      </c>
      <c r="AE40" s="56" t="str">
        <f t="shared" si="31"/>
        <v>x</v>
      </c>
      <c r="AF40" s="56" t="str">
        <f t="shared" si="31"/>
        <v>x</v>
      </c>
      <c r="AG40" s="56" t="str">
        <f t="shared" si="31"/>
        <v>x</v>
      </c>
      <c r="AH40" s="56" t="str">
        <f t="shared" si="31"/>
        <v>x</v>
      </c>
      <c r="AI40" s="56" t="str">
        <f t="shared" si="31"/>
        <v>x</v>
      </c>
      <c r="AJ40" s="56" t="str">
        <f t="shared" si="31"/>
        <v>x</v>
      </c>
      <c r="AK40" s="56" t="str">
        <f t="shared" si="31"/>
        <v>x</v>
      </c>
      <c r="AL40" s="56" t="str">
        <f t="shared" si="31"/>
        <v>x</v>
      </c>
      <c r="AM40" s="56" t="str">
        <f t="shared" si="31"/>
        <v>x</v>
      </c>
      <c r="AN40" s="56" t="str">
        <f t="shared" si="31"/>
        <v>x</v>
      </c>
      <c r="AO40" s="56" t="str">
        <f t="shared" si="31"/>
        <v>x</v>
      </c>
      <c r="AP40" s="56" t="str">
        <f t="shared" si="31"/>
        <v>x</v>
      </c>
      <c r="AQ40" s="56" t="str">
        <f t="shared" si="31"/>
        <v>x</v>
      </c>
      <c r="AR40" s="56" t="str">
        <f t="shared" si="31"/>
        <v>--</v>
      </c>
      <c r="AS40" s="56" t="str">
        <f t="shared" si="31"/>
        <v>x</v>
      </c>
      <c r="AT40" s="56" t="str">
        <f t="shared" si="18"/>
        <v>x</v>
      </c>
      <c r="AU40" s="56" t="str">
        <f t="shared" si="18"/>
        <v>x</v>
      </c>
      <c r="AV40" s="56" t="str">
        <f t="shared" si="18"/>
        <v>x</v>
      </c>
      <c r="AW40" s="56" t="str">
        <f t="shared" si="18"/>
        <v>x</v>
      </c>
      <c r="AX40" s="56" t="str">
        <f t="shared" si="18"/>
        <v>x</v>
      </c>
      <c r="AY40" s="56" t="str">
        <f t="shared" si="18"/>
        <v>x</v>
      </c>
      <c r="AZ40" s="56" t="str">
        <f t="shared" si="18"/>
        <v>x</v>
      </c>
      <c r="BA40" s="56" t="str">
        <f t="shared" si="18"/>
        <v>x</v>
      </c>
      <c r="BB40" s="56" t="str">
        <f t="shared" si="18"/>
        <v>x</v>
      </c>
      <c r="BC40" s="56" t="str">
        <f t="shared" si="33"/>
        <v>x</v>
      </c>
      <c r="BD40" s="56" t="str">
        <f t="shared" si="33"/>
        <v>x</v>
      </c>
      <c r="BE40" s="56" t="str">
        <f t="shared" si="33"/>
        <v>x</v>
      </c>
      <c r="BF40" s="56" t="str">
        <f t="shared" si="33"/>
        <v>x</v>
      </c>
      <c r="BG40" s="56" t="str">
        <f t="shared" si="33"/>
        <v>x</v>
      </c>
      <c r="BH40" s="56" t="str">
        <f t="shared" si="33"/>
        <v>x</v>
      </c>
      <c r="BI40" s="56" t="str">
        <f t="shared" si="33"/>
        <v>x</v>
      </c>
      <c r="BJ40" s="56" t="str">
        <f t="shared" si="33"/>
        <v>x</v>
      </c>
      <c r="BK40" s="56" t="str">
        <f t="shared" si="33"/>
        <v>x</v>
      </c>
      <c r="BL40" s="56" t="str">
        <f t="shared" si="33"/>
        <v>x</v>
      </c>
      <c r="BM40" s="56" t="str">
        <f t="shared" si="33"/>
        <v>x</v>
      </c>
      <c r="BN40" s="56" t="str">
        <f t="shared" si="33"/>
        <v>x</v>
      </c>
      <c r="BO40" s="56" t="str">
        <f t="shared" si="33"/>
        <v>x</v>
      </c>
      <c r="BP40" s="56" t="str">
        <f t="shared" si="33"/>
        <v>x</v>
      </c>
      <c r="BQ40" s="56" t="str">
        <f t="shared" si="33"/>
        <v>x</v>
      </c>
      <c r="BR40" s="56" t="str">
        <f t="shared" si="33"/>
        <v>x</v>
      </c>
      <c r="BS40" s="56" t="str">
        <f t="shared" si="32"/>
        <v>x</v>
      </c>
      <c r="BT40" s="56" t="str">
        <f t="shared" si="32"/>
        <v>x</v>
      </c>
      <c r="BU40" s="56" t="str">
        <f t="shared" si="32"/>
        <v>x</v>
      </c>
      <c r="BV40" s="56" t="str">
        <f t="shared" si="32"/>
        <v>x</v>
      </c>
      <c r="BW40" s="56" t="str">
        <f t="shared" si="32"/>
        <v>x</v>
      </c>
      <c r="BX40" s="56" t="str">
        <f t="shared" si="32"/>
        <v>x</v>
      </c>
      <c r="BY40" s="56" t="str">
        <f t="shared" si="32"/>
        <v>x</v>
      </c>
      <c r="BZ40" s="56" t="str">
        <f t="shared" si="23"/>
        <v>x</v>
      </c>
      <c r="CA40" s="56" t="str">
        <f t="shared" si="23"/>
        <v>x</v>
      </c>
      <c r="CB40" s="56" t="str">
        <f t="shared" si="23"/>
        <v>x</v>
      </c>
      <c r="CC40" s="56" t="str">
        <f t="shared" si="23"/>
        <v>x</v>
      </c>
      <c r="CD40" s="56" t="str">
        <f t="shared" si="23"/>
        <v>x</v>
      </c>
      <c r="CE40" s="56" t="str">
        <f t="shared" si="23"/>
        <v>x</v>
      </c>
      <c r="CF40" s="56" t="str">
        <f t="shared" si="23"/>
        <v>x</v>
      </c>
      <c r="CG40" s="56" t="str">
        <f t="shared" si="23"/>
        <v>x</v>
      </c>
      <c r="CH40" s="56" t="str">
        <f t="shared" si="23"/>
        <v>x</v>
      </c>
      <c r="CI40" s="56" t="str">
        <f t="shared" si="23"/>
        <v>x</v>
      </c>
      <c r="CJ40" s="56" t="str">
        <f t="shared" si="23"/>
        <v>x</v>
      </c>
      <c r="CK40" s="56" t="str">
        <f t="shared" si="23"/>
        <v>x</v>
      </c>
      <c r="CL40" s="56" t="str">
        <f t="shared" si="23"/>
        <v>x</v>
      </c>
      <c r="CM40" s="56" t="str">
        <f t="shared" si="23"/>
        <v>x</v>
      </c>
      <c r="CN40" s="56" t="str">
        <f t="shared" si="23"/>
        <v>x</v>
      </c>
      <c r="CO40" s="56" t="str">
        <f t="shared" ref="CO40:DD54" si="34">IFERROR(IF(SEARCH(CO$5,$E40),$F40,"-"),"x")</f>
        <v>x</v>
      </c>
      <c r="CP40" s="56" t="str">
        <f t="shared" si="34"/>
        <v>x</v>
      </c>
      <c r="CQ40" s="56" t="str">
        <f t="shared" si="34"/>
        <v>x</v>
      </c>
      <c r="CR40" s="56" t="str">
        <f t="shared" si="34"/>
        <v>x</v>
      </c>
      <c r="CS40" s="56" t="str">
        <f t="shared" si="34"/>
        <v>x</v>
      </c>
      <c r="CT40" s="56" t="str">
        <f t="shared" si="34"/>
        <v>--</v>
      </c>
      <c r="CU40" s="56" t="str">
        <f t="shared" si="34"/>
        <v>x</v>
      </c>
      <c r="CV40" s="56" t="str">
        <f t="shared" si="34"/>
        <v>x</v>
      </c>
      <c r="CW40" s="56" t="str">
        <f t="shared" si="34"/>
        <v>x</v>
      </c>
      <c r="CX40" s="56" t="str">
        <f t="shared" si="34"/>
        <v>x</v>
      </c>
      <c r="CY40" s="56" t="str">
        <f t="shared" si="34"/>
        <v>x</v>
      </c>
      <c r="CZ40" s="56" t="str">
        <f t="shared" si="34"/>
        <v>x</v>
      </c>
      <c r="DA40" s="56" t="str">
        <f t="shared" si="34"/>
        <v>x</v>
      </c>
      <c r="DB40" s="56" t="str">
        <f t="shared" si="34"/>
        <v>x</v>
      </c>
      <c r="DC40" s="56" t="str">
        <f t="shared" si="34"/>
        <v>x</v>
      </c>
      <c r="DD40" s="56" t="str">
        <f t="shared" si="34"/>
        <v>x</v>
      </c>
      <c r="DE40" s="56" t="str">
        <f t="shared" si="30"/>
        <v>x</v>
      </c>
      <c r="DF40" s="56" t="str">
        <f t="shared" si="30"/>
        <v>x</v>
      </c>
      <c r="DG40" s="56" t="str">
        <f t="shared" si="30"/>
        <v>x</v>
      </c>
      <c r="DH40" s="56" t="str">
        <f t="shared" si="30"/>
        <v>x</v>
      </c>
      <c r="DI40" s="56" t="str">
        <f t="shared" si="30"/>
        <v>x</v>
      </c>
      <c r="DJ40" s="56" t="str">
        <f t="shared" si="30"/>
        <v>x</v>
      </c>
      <c r="DK40" s="56" t="str">
        <f t="shared" si="30"/>
        <v>x</v>
      </c>
      <c r="DL40" s="56" t="str">
        <f t="shared" si="29"/>
        <v>x</v>
      </c>
      <c r="DM40" s="56" t="str">
        <f t="shared" si="16"/>
        <v>x</v>
      </c>
      <c r="DN40" s="56" t="str">
        <f t="shared" si="16"/>
        <v>x</v>
      </c>
      <c r="DO40" s="56" t="str">
        <f t="shared" si="16"/>
        <v>x</v>
      </c>
    </row>
    <row r="41" spans="1:119" ht="63" customHeight="1">
      <c r="A41" s="131"/>
      <c r="B41" s="30" t="s">
        <v>123</v>
      </c>
      <c r="C41" s="29" t="s">
        <v>207</v>
      </c>
      <c r="D41" s="130" t="s">
        <v>309</v>
      </c>
      <c r="E41" s="23" t="s">
        <v>193</v>
      </c>
      <c r="F41" s="36" t="s">
        <v>3</v>
      </c>
      <c r="G41" s="37" t="s">
        <v>8</v>
      </c>
      <c r="H41" s="37"/>
      <c r="I41" s="37"/>
      <c r="J41" s="116"/>
      <c r="K41" s="56" t="str">
        <f t="shared" si="20"/>
        <v>x</v>
      </c>
      <c r="L41" s="56" t="str">
        <f t="shared" si="20"/>
        <v>x</v>
      </c>
      <c r="M41" s="56" t="str">
        <f t="shared" si="20"/>
        <v>x</v>
      </c>
      <c r="N41" s="56" t="str">
        <f t="shared" si="20"/>
        <v>x</v>
      </c>
      <c r="O41" s="56" t="str">
        <f t="shared" si="20"/>
        <v>x</v>
      </c>
      <c r="P41" s="56" t="str">
        <f t="shared" si="20"/>
        <v>x</v>
      </c>
      <c r="Q41" s="56" t="str">
        <f t="shared" si="20"/>
        <v>x</v>
      </c>
      <c r="R41" s="56" t="str">
        <f t="shared" si="20"/>
        <v>x</v>
      </c>
      <c r="S41" s="56" t="str">
        <f t="shared" si="20"/>
        <v>x</v>
      </c>
      <c r="T41" s="56" t="str">
        <f t="shared" si="20"/>
        <v>x</v>
      </c>
      <c r="U41" s="56" t="str">
        <f t="shared" si="21"/>
        <v>x</v>
      </c>
      <c r="V41" s="56" t="str">
        <f t="shared" si="21"/>
        <v>x</v>
      </c>
      <c r="W41" s="56" t="str">
        <f t="shared" si="21"/>
        <v>x</v>
      </c>
      <c r="X41" s="56" t="str">
        <f t="shared" si="21"/>
        <v>x</v>
      </c>
      <c r="Y41" s="56" t="str">
        <f t="shared" si="21"/>
        <v>x</v>
      </c>
      <c r="Z41" s="56" t="str">
        <f t="shared" si="21"/>
        <v>x</v>
      </c>
      <c r="AA41" s="56" t="str">
        <f t="shared" si="21"/>
        <v>x</v>
      </c>
      <c r="AB41" s="56" t="str">
        <f t="shared" si="21"/>
        <v>x</v>
      </c>
      <c r="AC41" s="56" t="str">
        <f t="shared" si="21"/>
        <v>x</v>
      </c>
      <c r="AD41" s="56" t="str">
        <f t="shared" si="21"/>
        <v>x</v>
      </c>
      <c r="AE41" s="56" t="str">
        <f t="shared" si="31"/>
        <v>x</v>
      </c>
      <c r="AF41" s="56" t="str">
        <f t="shared" si="31"/>
        <v>x</v>
      </c>
      <c r="AG41" s="56" t="str">
        <f t="shared" si="31"/>
        <v>x</v>
      </c>
      <c r="AH41" s="56" t="str">
        <f t="shared" si="31"/>
        <v>x</v>
      </c>
      <c r="AI41" s="56" t="str">
        <f t="shared" si="31"/>
        <v>x</v>
      </c>
      <c r="AJ41" s="56" t="str">
        <f t="shared" si="31"/>
        <v>x</v>
      </c>
      <c r="AK41" s="56" t="str">
        <f t="shared" si="31"/>
        <v>x</v>
      </c>
      <c r="AL41" s="56" t="str">
        <f t="shared" si="31"/>
        <v>x</v>
      </c>
      <c r="AM41" s="56" t="str">
        <f t="shared" si="31"/>
        <v>x</v>
      </c>
      <c r="AN41" s="56" t="str">
        <f t="shared" si="31"/>
        <v>x</v>
      </c>
      <c r="AO41" s="56" t="str">
        <f t="shared" si="31"/>
        <v>x</v>
      </c>
      <c r="AP41" s="56" t="str">
        <f t="shared" si="31"/>
        <v>x</v>
      </c>
      <c r="AQ41" s="56" t="str">
        <f t="shared" si="31"/>
        <v>x</v>
      </c>
      <c r="AR41" s="56" t="str">
        <f t="shared" si="31"/>
        <v>x</v>
      </c>
      <c r="AS41" s="56" t="str">
        <f t="shared" si="31"/>
        <v>--</v>
      </c>
      <c r="AT41" s="56" t="str">
        <f t="shared" si="18"/>
        <v>x</v>
      </c>
      <c r="AU41" s="56" t="str">
        <f t="shared" si="18"/>
        <v>x</v>
      </c>
      <c r="AV41" s="56" t="str">
        <f t="shared" si="18"/>
        <v>x</v>
      </c>
      <c r="AW41" s="56" t="str">
        <f t="shared" si="18"/>
        <v>x</v>
      </c>
      <c r="AX41" s="56" t="str">
        <f t="shared" si="18"/>
        <v>x</v>
      </c>
      <c r="AY41" s="56" t="str">
        <f t="shared" si="18"/>
        <v>x</v>
      </c>
      <c r="AZ41" s="56" t="str">
        <f t="shared" si="18"/>
        <v>x</v>
      </c>
      <c r="BA41" s="56" t="str">
        <f t="shared" si="18"/>
        <v>x</v>
      </c>
      <c r="BB41" s="56" t="str">
        <f t="shared" si="18"/>
        <v>x</v>
      </c>
      <c r="BC41" s="56" t="str">
        <f t="shared" si="33"/>
        <v>x</v>
      </c>
      <c r="BD41" s="56" t="str">
        <f t="shared" si="33"/>
        <v>x</v>
      </c>
      <c r="BE41" s="56" t="str">
        <f t="shared" si="33"/>
        <v>x</v>
      </c>
      <c r="BF41" s="56" t="str">
        <f t="shared" si="33"/>
        <v>x</v>
      </c>
      <c r="BG41" s="56" t="str">
        <f t="shared" si="33"/>
        <v>x</v>
      </c>
      <c r="BH41" s="56" t="str">
        <f t="shared" si="33"/>
        <v>x</v>
      </c>
      <c r="BI41" s="56" t="str">
        <f t="shared" si="33"/>
        <v>x</v>
      </c>
      <c r="BJ41" s="56" t="str">
        <f t="shared" si="33"/>
        <v>x</v>
      </c>
      <c r="BK41" s="56" t="str">
        <f t="shared" si="33"/>
        <v>x</v>
      </c>
      <c r="BL41" s="56" t="str">
        <f t="shared" si="33"/>
        <v>x</v>
      </c>
      <c r="BM41" s="56" t="str">
        <f t="shared" si="33"/>
        <v>x</v>
      </c>
      <c r="BN41" s="56" t="str">
        <f t="shared" si="33"/>
        <v>x</v>
      </c>
      <c r="BO41" s="56" t="str">
        <f t="shared" si="33"/>
        <v>x</v>
      </c>
      <c r="BP41" s="56" t="str">
        <f t="shared" si="33"/>
        <v>x</v>
      </c>
      <c r="BQ41" s="56" t="str">
        <f t="shared" si="33"/>
        <v>x</v>
      </c>
      <c r="BR41" s="56" t="str">
        <f t="shared" si="33"/>
        <v>x</v>
      </c>
      <c r="BS41" s="56" t="str">
        <f t="shared" si="32"/>
        <v>x</v>
      </c>
      <c r="BT41" s="56" t="str">
        <f t="shared" si="32"/>
        <v>x</v>
      </c>
      <c r="BU41" s="56" t="str">
        <f t="shared" si="32"/>
        <v>x</v>
      </c>
      <c r="BV41" s="56" t="str">
        <f t="shared" si="32"/>
        <v>x</v>
      </c>
      <c r="BW41" s="56" t="str">
        <f t="shared" si="32"/>
        <v>x</v>
      </c>
      <c r="BX41" s="56" t="str">
        <f t="shared" si="32"/>
        <v>x</v>
      </c>
      <c r="BY41" s="56" t="str">
        <f t="shared" si="32"/>
        <v>x</v>
      </c>
      <c r="BZ41" s="56" t="str">
        <f t="shared" ref="BZ41:CO55" si="35">IFERROR(IF(SEARCH(BZ$5,$E41),$F41,"-"),"x")</f>
        <v>x</v>
      </c>
      <c r="CA41" s="56" t="str">
        <f t="shared" si="35"/>
        <v>x</v>
      </c>
      <c r="CB41" s="56" t="str">
        <f t="shared" si="35"/>
        <v>x</v>
      </c>
      <c r="CC41" s="56" t="str">
        <f t="shared" si="35"/>
        <v>x</v>
      </c>
      <c r="CD41" s="56" t="str">
        <f t="shared" si="35"/>
        <v>x</v>
      </c>
      <c r="CE41" s="56" t="str">
        <f t="shared" si="35"/>
        <v>x</v>
      </c>
      <c r="CF41" s="56" t="str">
        <f t="shared" si="35"/>
        <v>x</v>
      </c>
      <c r="CG41" s="56" t="str">
        <f t="shared" si="35"/>
        <v>x</v>
      </c>
      <c r="CH41" s="56" t="str">
        <f t="shared" si="35"/>
        <v>x</v>
      </c>
      <c r="CI41" s="56" t="str">
        <f t="shared" si="35"/>
        <v>x</v>
      </c>
      <c r="CJ41" s="56" t="str">
        <f t="shared" si="35"/>
        <v>x</v>
      </c>
      <c r="CK41" s="56" t="str">
        <f t="shared" si="35"/>
        <v>x</v>
      </c>
      <c r="CL41" s="56" t="str">
        <f t="shared" si="35"/>
        <v>x</v>
      </c>
      <c r="CM41" s="56" t="str">
        <f t="shared" si="35"/>
        <v>x</v>
      </c>
      <c r="CN41" s="56" t="str">
        <f t="shared" si="35"/>
        <v>x</v>
      </c>
      <c r="CO41" s="56" t="str">
        <f t="shared" si="35"/>
        <v>x</v>
      </c>
      <c r="CP41" s="56" t="str">
        <f t="shared" si="34"/>
        <v>x</v>
      </c>
      <c r="CQ41" s="56" t="str">
        <f t="shared" si="34"/>
        <v>x</v>
      </c>
      <c r="CR41" s="56" t="str">
        <f t="shared" si="34"/>
        <v>x</v>
      </c>
      <c r="CS41" s="56" t="str">
        <f t="shared" si="34"/>
        <v>x</v>
      </c>
      <c r="CT41" s="56" t="str">
        <f t="shared" si="34"/>
        <v>x</v>
      </c>
      <c r="CU41" s="56" t="str">
        <f t="shared" si="34"/>
        <v>x</v>
      </c>
      <c r="CV41" s="56" t="str">
        <f t="shared" si="34"/>
        <v>x</v>
      </c>
      <c r="CW41" s="56" t="str">
        <f t="shared" si="34"/>
        <v>x</v>
      </c>
      <c r="CX41" s="56" t="str">
        <f t="shared" si="34"/>
        <v>x</v>
      </c>
      <c r="CY41" s="56" t="str">
        <f t="shared" si="34"/>
        <v>x</v>
      </c>
      <c r="CZ41" s="56" t="str">
        <f t="shared" si="34"/>
        <v>x</v>
      </c>
      <c r="DA41" s="56" t="str">
        <f t="shared" si="34"/>
        <v>x</v>
      </c>
      <c r="DB41" s="56" t="str">
        <f t="shared" si="34"/>
        <v>x</v>
      </c>
      <c r="DC41" s="56" t="str">
        <f t="shared" si="34"/>
        <v>x</v>
      </c>
      <c r="DD41" s="56" t="str">
        <f t="shared" si="34"/>
        <v>x</v>
      </c>
      <c r="DE41" s="56" t="str">
        <f t="shared" si="30"/>
        <v>--</v>
      </c>
      <c r="DF41" s="56" t="str">
        <f t="shared" si="30"/>
        <v>x</v>
      </c>
      <c r="DG41" s="56" t="str">
        <f t="shared" si="30"/>
        <v>x</v>
      </c>
      <c r="DH41" s="56" t="str">
        <f t="shared" si="30"/>
        <v>x</v>
      </c>
      <c r="DI41" s="56" t="str">
        <f t="shared" si="30"/>
        <v>x</v>
      </c>
      <c r="DJ41" s="56" t="str">
        <f t="shared" si="30"/>
        <v>x</v>
      </c>
      <c r="DK41" s="56" t="str">
        <f t="shared" si="30"/>
        <v>x</v>
      </c>
      <c r="DL41" s="56" t="str">
        <f t="shared" si="29"/>
        <v>x</v>
      </c>
      <c r="DM41" s="56" t="str">
        <f t="shared" si="16"/>
        <v>x</v>
      </c>
      <c r="DN41" s="56" t="str">
        <f t="shared" si="16"/>
        <v>x</v>
      </c>
      <c r="DO41" s="56" t="str">
        <f t="shared" si="16"/>
        <v>x</v>
      </c>
    </row>
    <row r="42" spans="1:119" ht="48.75" customHeight="1">
      <c r="A42" s="52"/>
      <c r="B42" s="30" t="s">
        <v>12</v>
      </c>
      <c r="C42" s="29" t="s">
        <v>308</v>
      </c>
      <c r="D42" s="130" t="s">
        <v>246</v>
      </c>
      <c r="E42" s="23" t="s">
        <v>194</v>
      </c>
      <c r="F42" s="36" t="s">
        <v>3</v>
      </c>
      <c r="G42" s="37" t="s">
        <v>8</v>
      </c>
      <c r="H42" s="37"/>
      <c r="I42" s="37"/>
      <c r="J42" s="119"/>
      <c r="K42" s="56" t="str">
        <f t="shared" si="20"/>
        <v>x</v>
      </c>
      <c r="L42" s="56" t="str">
        <f t="shared" si="20"/>
        <v>x</v>
      </c>
      <c r="M42" s="56" t="str">
        <f t="shared" si="20"/>
        <v>x</v>
      </c>
      <c r="N42" s="56" t="str">
        <f t="shared" si="20"/>
        <v>x</v>
      </c>
      <c r="O42" s="56" t="str">
        <f t="shared" si="20"/>
        <v>x</v>
      </c>
      <c r="P42" s="56" t="str">
        <f t="shared" si="20"/>
        <v>x</v>
      </c>
      <c r="Q42" s="56" t="str">
        <f t="shared" si="20"/>
        <v>x</v>
      </c>
      <c r="R42" s="56" t="str">
        <f t="shared" si="20"/>
        <v>x</v>
      </c>
      <c r="S42" s="56" t="str">
        <f t="shared" si="20"/>
        <v>x</v>
      </c>
      <c r="T42" s="56" t="str">
        <f t="shared" si="20"/>
        <v>x</v>
      </c>
      <c r="U42" s="56" t="str">
        <f t="shared" si="21"/>
        <v>x</v>
      </c>
      <c r="V42" s="56" t="str">
        <f t="shared" si="21"/>
        <v>x</v>
      </c>
      <c r="W42" s="56" t="str">
        <f t="shared" si="21"/>
        <v>x</v>
      </c>
      <c r="X42" s="56" t="str">
        <f t="shared" si="21"/>
        <v>x</v>
      </c>
      <c r="Y42" s="56" t="str">
        <f t="shared" si="21"/>
        <v>x</v>
      </c>
      <c r="Z42" s="56" t="str">
        <f t="shared" si="21"/>
        <v>x</v>
      </c>
      <c r="AA42" s="56" t="str">
        <f t="shared" si="21"/>
        <v>x</v>
      </c>
      <c r="AB42" s="56" t="str">
        <f t="shared" si="21"/>
        <v>x</v>
      </c>
      <c r="AC42" s="56" t="str">
        <f t="shared" si="21"/>
        <v>x</v>
      </c>
      <c r="AD42" s="56" t="str">
        <f t="shared" si="21"/>
        <v>x</v>
      </c>
      <c r="AE42" s="56" t="str">
        <f t="shared" si="31"/>
        <v>x</v>
      </c>
      <c r="AF42" s="56" t="str">
        <f t="shared" si="31"/>
        <v>x</v>
      </c>
      <c r="AG42" s="56" t="str">
        <f t="shared" si="31"/>
        <v>x</v>
      </c>
      <c r="AH42" s="56" t="str">
        <f t="shared" si="31"/>
        <v>x</v>
      </c>
      <c r="AI42" s="56" t="str">
        <f t="shared" si="31"/>
        <v>x</v>
      </c>
      <c r="AJ42" s="56" t="str">
        <f t="shared" si="31"/>
        <v>x</v>
      </c>
      <c r="AK42" s="56" t="str">
        <f t="shared" si="31"/>
        <v>x</v>
      </c>
      <c r="AL42" s="56" t="str">
        <f t="shared" si="31"/>
        <v>x</v>
      </c>
      <c r="AM42" s="56" t="str">
        <f t="shared" si="31"/>
        <v>x</v>
      </c>
      <c r="AN42" s="56" t="str">
        <f t="shared" si="31"/>
        <v>x</v>
      </c>
      <c r="AO42" s="56" t="str">
        <f t="shared" si="31"/>
        <v>x</v>
      </c>
      <c r="AP42" s="56" t="str">
        <f t="shared" si="31"/>
        <v>x</v>
      </c>
      <c r="AQ42" s="56" t="str">
        <f t="shared" si="31"/>
        <v>x</v>
      </c>
      <c r="AR42" s="56" t="str">
        <f t="shared" si="31"/>
        <v>x</v>
      </c>
      <c r="AS42" s="56" t="str">
        <f t="shared" si="31"/>
        <v>x</v>
      </c>
      <c r="AT42" s="56" t="str">
        <f t="shared" si="18"/>
        <v>--</v>
      </c>
      <c r="AU42" s="56" t="str">
        <f t="shared" si="18"/>
        <v>x</v>
      </c>
      <c r="AV42" s="56" t="str">
        <f t="shared" si="18"/>
        <v>x</v>
      </c>
      <c r="AW42" s="56" t="str">
        <f t="shared" si="18"/>
        <v>x</v>
      </c>
      <c r="AX42" s="56" t="str">
        <f t="shared" si="18"/>
        <v>x</v>
      </c>
      <c r="AY42" s="56" t="str">
        <f t="shared" si="18"/>
        <v>x</v>
      </c>
      <c r="AZ42" s="56" t="str">
        <f t="shared" si="18"/>
        <v>x</v>
      </c>
      <c r="BA42" s="56" t="str">
        <f t="shared" si="18"/>
        <v>x</v>
      </c>
      <c r="BB42" s="56" t="str">
        <f t="shared" si="18"/>
        <v>x</v>
      </c>
      <c r="BC42" s="56" t="str">
        <f t="shared" si="33"/>
        <v>x</v>
      </c>
      <c r="BD42" s="56" t="str">
        <f t="shared" si="33"/>
        <v>x</v>
      </c>
      <c r="BE42" s="56" t="str">
        <f t="shared" si="33"/>
        <v>x</v>
      </c>
      <c r="BF42" s="56" t="str">
        <f t="shared" si="33"/>
        <v>x</v>
      </c>
      <c r="BG42" s="56" t="str">
        <f t="shared" si="33"/>
        <v>x</v>
      </c>
      <c r="BH42" s="56" t="str">
        <f t="shared" si="33"/>
        <v>x</v>
      </c>
      <c r="BI42" s="56" t="str">
        <f t="shared" si="33"/>
        <v>x</v>
      </c>
      <c r="BJ42" s="56" t="str">
        <f t="shared" si="33"/>
        <v>x</v>
      </c>
      <c r="BK42" s="56" t="str">
        <f t="shared" si="33"/>
        <v>x</v>
      </c>
      <c r="BL42" s="56" t="str">
        <f t="shared" si="33"/>
        <v>x</v>
      </c>
      <c r="BM42" s="56" t="str">
        <f t="shared" si="33"/>
        <v>x</v>
      </c>
      <c r="BN42" s="56" t="str">
        <f t="shared" si="33"/>
        <v>x</v>
      </c>
      <c r="BO42" s="56" t="str">
        <f t="shared" si="33"/>
        <v>x</v>
      </c>
      <c r="BP42" s="56" t="str">
        <f t="shared" si="33"/>
        <v>x</v>
      </c>
      <c r="BQ42" s="56" t="str">
        <f t="shared" si="33"/>
        <v>x</v>
      </c>
      <c r="BR42" s="56" t="str">
        <f t="shared" si="33"/>
        <v>x</v>
      </c>
      <c r="BS42" s="56" t="str">
        <f t="shared" si="32"/>
        <v>x</v>
      </c>
      <c r="BT42" s="56" t="str">
        <f t="shared" si="32"/>
        <v>x</v>
      </c>
      <c r="BU42" s="56" t="str">
        <f t="shared" si="32"/>
        <v>x</v>
      </c>
      <c r="BV42" s="56" t="str">
        <f t="shared" si="32"/>
        <v>x</v>
      </c>
      <c r="BW42" s="56" t="str">
        <f t="shared" si="32"/>
        <v>x</v>
      </c>
      <c r="BX42" s="56" t="str">
        <f t="shared" si="32"/>
        <v>x</v>
      </c>
      <c r="BY42" s="56" t="str">
        <f t="shared" si="32"/>
        <v>x</v>
      </c>
      <c r="BZ42" s="56" t="str">
        <f t="shared" si="35"/>
        <v>x</v>
      </c>
      <c r="CA42" s="56" t="str">
        <f t="shared" si="35"/>
        <v>x</v>
      </c>
      <c r="CB42" s="56" t="str">
        <f t="shared" si="35"/>
        <v>x</v>
      </c>
      <c r="CC42" s="56" t="str">
        <f t="shared" si="35"/>
        <v>x</v>
      </c>
      <c r="CD42" s="56" t="str">
        <f t="shared" si="35"/>
        <v>x</v>
      </c>
      <c r="CE42" s="56" t="str">
        <f t="shared" si="35"/>
        <v>x</v>
      </c>
      <c r="CF42" s="56" t="str">
        <f t="shared" si="35"/>
        <v>x</v>
      </c>
      <c r="CG42" s="56" t="str">
        <f t="shared" si="35"/>
        <v>x</v>
      </c>
      <c r="CH42" s="56" t="str">
        <f t="shared" si="35"/>
        <v>x</v>
      </c>
      <c r="CI42" s="56" t="str">
        <f t="shared" si="35"/>
        <v>x</v>
      </c>
      <c r="CJ42" s="56" t="str">
        <f t="shared" si="35"/>
        <v>x</v>
      </c>
      <c r="CK42" s="56" t="str">
        <f t="shared" si="35"/>
        <v>x</v>
      </c>
      <c r="CL42" s="56" t="str">
        <f t="shared" si="35"/>
        <v>x</v>
      </c>
      <c r="CM42" s="56" t="str">
        <f t="shared" si="35"/>
        <v>x</v>
      </c>
      <c r="CN42" s="56" t="str">
        <f t="shared" si="35"/>
        <v>x</v>
      </c>
      <c r="CO42" s="56" t="str">
        <f t="shared" si="35"/>
        <v>x</v>
      </c>
      <c r="CP42" s="56" t="str">
        <f t="shared" si="34"/>
        <v>x</v>
      </c>
      <c r="CQ42" s="56" t="str">
        <f t="shared" si="34"/>
        <v>x</v>
      </c>
      <c r="CR42" s="56" t="str">
        <f t="shared" si="34"/>
        <v>x</v>
      </c>
      <c r="CS42" s="56" t="str">
        <f t="shared" si="34"/>
        <v>x</v>
      </c>
      <c r="CT42" s="56" t="str">
        <f t="shared" si="34"/>
        <v>x</v>
      </c>
      <c r="CU42" s="56" t="str">
        <f t="shared" si="34"/>
        <v>x</v>
      </c>
      <c r="CV42" s="56" t="str">
        <f t="shared" si="34"/>
        <v>x</v>
      </c>
      <c r="CW42" s="56" t="str">
        <f t="shared" si="34"/>
        <v>x</v>
      </c>
      <c r="CX42" s="56" t="str">
        <f t="shared" si="34"/>
        <v>x</v>
      </c>
      <c r="CY42" s="56" t="str">
        <f t="shared" si="34"/>
        <v>x</v>
      </c>
      <c r="CZ42" s="56" t="str">
        <f t="shared" si="34"/>
        <v>x</v>
      </c>
      <c r="DA42" s="56" t="str">
        <f t="shared" si="34"/>
        <v>x</v>
      </c>
      <c r="DB42" s="56" t="str">
        <f t="shared" si="34"/>
        <v>x</v>
      </c>
      <c r="DC42" s="56" t="str">
        <f t="shared" si="34"/>
        <v>x</v>
      </c>
      <c r="DD42" s="56" t="str">
        <f t="shared" si="34"/>
        <v>x</v>
      </c>
      <c r="DE42" s="56" t="str">
        <f t="shared" si="30"/>
        <v>x</v>
      </c>
      <c r="DF42" s="56" t="str">
        <f t="shared" si="30"/>
        <v>--</v>
      </c>
      <c r="DG42" s="56" t="str">
        <f t="shared" si="30"/>
        <v>x</v>
      </c>
      <c r="DH42" s="56" t="str">
        <f t="shared" si="30"/>
        <v>x</v>
      </c>
      <c r="DI42" s="56" t="str">
        <f t="shared" si="30"/>
        <v>x</v>
      </c>
      <c r="DJ42" s="56" t="str">
        <f t="shared" si="30"/>
        <v>x</v>
      </c>
      <c r="DK42" s="56" t="str">
        <f t="shared" si="30"/>
        <v>x</v>
      </c>
      <c r="DL42" s="56" t="str">
        <f t="shared" si="29"/>
        <v>x</v>
      </c>
      <c r="DM42" s="56" t="str">
        <f t="shared" si="16"/>
        <v>x</v>
      </c>
      <c r="DN42" s="56" t="str">
        <f t="shared" si="16"/>
        <v>x</v>
      </c>
      <c r="DO42" s="56" t="str">
        <f t="shared" si="16"/>
        <v>x</v>
      </c>
    </row>
    <row r="43" spans="1:119" ht="28.8">
      <c r="A43" s="52" t="s">
        <v>311</v>
      </c>
      <c r="B43" s="30" t="s">
        <v>122</v>
      </c>
      <c r="C43" s="29" t="s">
        <v>208</v>
      </c>
      <c r="D43" s="130" t="s">
        <v>247</v>
      </c>
      <c r="E43" s="23" t="s">
        <v>187</v>
      </c>
      <c r="F43" s="36" t="s">
        <v>3</v>
      </c>
      <c r="G43" s="37"/>
      <c r="H43" s="37"/>
      <c r="I43" s="37"/>
      <c r="J43" s="119"/>
      <c r="K43" s="56" t="str">
        <f t="shared" si="20"/>
        <v>x</v>
      </c>
      <c r="L43" s="56" t="str">
        <f t="shared" si="20"/>
        <v>x</v>
      </c>
      <c r="M43" s="56" t="str">
        <f t="shared" si="20"/>
        <v>x</v>
      </c>
      <c r="N43" s="56" t="str">
        <f t="shared" si="20"/>
        <v>x</v>
      </c>
      <c r="O43" s="56" t="str">
        <f t="shared" si="20"/>
        <v>x</v>
      </c>
      <c r="P43" s="56" t="str">
        <f t="shared" si="20"/>
        <v>x</v>
      </c>
      <c r="Q43" s="56" t="str">
        <f t="shared" si="20"/>
        <v>x</v>
      </c>
      <c r="R43" s="56" t="str">
        <f t="shared" si="20"/>
        <v>x</v>
      </c>
      <c r="S43" s="56" t="str">
        <f t="shared" si="20"/>
        <v>x</v>
      </c>
      <c r="T43" s="56" t="str">
        <f t="shared" si="20"/>
        <v>x</v>
      </c>
      <c r="U43" s="56" t="str">
        <f t="shared" si="21"/>
        <v>x</v>
      </c>
      <c r="V43" s="56" t="str">
        <f t="shared" si="21"/>
        <v>x</v>
      </c>
      <c r="W43" s="56" t="str">
        <f t="shared" si="21"/>
        <v>x</v>
      </c>
      <c r="X43" s="56" t="str">
        <f t="shared" si="21"/>
        <v>x</v>
      </c>
      <c r="Y43" s="56" t="str">
        <f t="shared" si="21"/>
        <v>x</v>
      </c>
      <c r="Z43" s="56" t="str">
        <f t="shared" si="21"/>
        <v>x</v>
      </c>
      <c r="AA43" s="56" t="str">
        <f t="shared" si="21"/>
        <v>x</v>
      </c>
      <c r="AB43" s="56" t="str">
        <f t="shared" si="21"/>
        <v>x</v>
      </c>
      <c r="AC43" s="56" t="str">
        <f t="shared" si="21"/>
        <v>x</v>
      </c>
      <c r="AD43" s="56" t="str">
        <f t="shared" si="21"/>
        <v>x</v>
      </c>
      <c r="AE43" s="56" t="str">
        <f t="shared" si="31"/>
        <v>x</v>
      </c>
      <c r="AF43" s="56" t="str">
        <f t="shared" si="31"/>
        <v>x</v>
      </c>
      <c r="AG43" s="56" t="str">
        <f t="shared" si="31"/>
        <v>x</v>
      </c>
      <c r="AH43" s="56" t="str">
        <f t="shared" si="31"/>
        <v>x</v>
      </c>
      <c r="AI43" s="56" t="str">
        <f t="shared" si="31"/>
        <v>x</v>
      </c>
      <c r="AJ43" s="56" t="str">
        <f t="shared" si="31"/>
        <v>x</v>
      </c>
      <c r="AK43" s="56" t="str">
        <f t="shared" si="31"/>
        <v>x</v>
      </c>
      <c r="AL43" s="56" t="str">
        <f t="shared" si="31"/>
        <v>x</v>
      </c>
      <c r="AM43" s="56" t="str">
        <f t="shared" si="31"/>
        <v>x</v>
      </c>
      <c r="AN43" s="56" t="str">
        <f t="shared" si="31"/>
        <v>x</v>
      </c>
      <c r="AO43" s="56" t="str">
        <f t="shared" si="31"/>
        <v>x</v>
      </c>
      <c r="AP43" s="56" t="str">
        <f t="shared" si="31"/>
        <v>x</v>
      </c>
      <c r="AQ43" s="56" t="str">
        <f t="shared" si="31"/>
        <v>x</v>
      </c>
      <c r="AR43" s="56" t="str">
        <f t="shared" si="31"/>
        <v>x</v>
      </c>
      <c r="AS43" s="56" t="str">
        <f t="shared" si="31"/>
        <v>x</v>
      </c>
      <c r="AT43" s="56" t="str">
        <f t="shared" si="18"/>
        <v>x</v>
      </c>
      <c r="AU43" s="56" t="str">
        <f t="shared" si="18"/>
        <v>--</v>
      </c>
      <c r="AV43" s="56" t="str">
        <f t="shared" si="18"/>
        <v>x</v>
      </c>
      <c r="AW43" s="56" t="str">
        <f t="shared" si="18"/>
        <v>x</v>
      </c>
      <c r="AX43" s="56" t="str">
        <f t="shared" si="18"/>
        <v>x</v>
      </c>
      <c r="AY43" s="56" t="str">
        <f t="shared" ref="AY43:BN62" si="36">IFERROR(IF(SEARCH(AY$5,$D43),$F43,"-"),"x")</f>
        <v>x</v>
      </c>
      <c r="AZ43" s="56" t="str">
        <f t="shared" si="36"/>
        <v>x</v>
      </c>
      <c r="BA43" s="56" t="str">
        <f t="shared" si="36"/>
        <v>x</v>
      </c>
      <c r="BB43" s="56" t="str">
        <f t="shared" si="36"/>
        <v>x</v>
      </c>
      <c r="BC43" s="56" t="str">
        <f t="shared" si="36"/>
        <v>x</v>
      </c>
      <c r="BD43" s="56" t="str">
        <f t="shared" si="36"/>
        <v>x</v>
      </c>
      <c r="BE43" s="56" t="str">
        <f t="shared" si="36"/>
        <v>x</v>
      </c>
      <c r="BF43" s="56" t="str">
        <f t="shared" si="36"/>
        <v>x</v>
      </c>
      <c r="BG43" s="56" t="str">
        <f t="shared" si="36"/>
        <v>x</v>
      </c>
      <c r="BH43" s="56" t="str">
        <f t="shared" si="36"/>
        <v>x</v>
      </c>
      <c r="BI43" s="56" t="str">
        <f t="shared" si="36"/>
        <v>x</v>
      </c>
      <c r="BJ43" s="56" t="str">
        <f t="shared" si="36"/>
        <v>x</v>
      </c>
      <c r="BK43" s="56" t="str">
        <f t="shared" si="36"/>
        <v>x</v>
      </c>
      <c r="BL43" s="56" t="str">
        <f t="shared" si="36"/>
        <v>x</v>
      </c>
      <c r="BM43" s="56" t="str">
        <f t="shared" si="36"/>
        <v>x</v>
      </c>
      <c r="BN43" s="56" t="str">
        <f t="shared" si="36"/>
        <v>x</v>
      </c>
      <c r="BO43" s="56" t="str">
        <f t="shared" si="33"/>
        <v>x</v>
      </c>
      <c r="BP43" s="56" t="str">
        <f t="shared" si="33"/>
        <v>x</v>
      </c>
      <c r="BQ43" s="56" t="str">
        <f t="shared" si="33"/>
        <v>x</v>
      </c>
      <c r="BR43" s="56" t="str">
        <f t="shared" si="33"/>
        <v>x</v>
      </c>
      <c r="BS43" s="56" t="str">
        <f t="shared" si="32"/>
        <v>x</v>
      </c>
      <c r="BT43" s="56" t="str">
        <f t="shared" si="32"/>
        <v>x</v>
      </c>
      <c r="BU43" s="56" t="str">
        <f t="shared" si="32"/>
        <v>x</v>
      </c>
      <c r="BV43" s="56" t="str">
        <f t="shared" si="32"/>
        <v>x</v>
      </c>
      <c r="BW43" s="56" t="str">
        <f t="shared" si="32"/>
        <v>x</v>
      </c>
      <c r="BX43" s="56" t="str">
        <f t="shared" si="32"/>
        <v>x</v>
      </c>
      <c r="BY43" s="56" t="str">
        <f t="shared" si="32"/>
        <v>x</v>
      </c>
      <c r="BZ43" s="56" t="str">
        <f t="shared" si="35"/>
        <v>x</v>
      </c>
      <c r="CA43" s="56" t="str">
        <f t="shared" si="35"/>
        <v>x</v>
      </c>
      <c r="CB43" s="56" t="str">
        <f t="shared" si="35"/>
        <v>x</v>
      </c>
      <c r="CC43" s="56" t="str">
        <f t="shared" si="35"/>
        <v>x</v>
      </c>
      <c r="CD43" s="56" t="str">
        <f t="shared" si="35"/>
        <v>x</v>
      </c>
      <c r="CE43" s="56" t="str">
        <f t="shared" si="35"/>
        <v>x</v>
      </c>
      <c r="CF43" s="56" t="str">
        <f t="shared" si="35"/>
        <v>x</v>
      </c>
      <c r="CG43" s="56" t="str">
        <f t="shared" si="35"/>
        <v>x</v>
      </c>
      <c r="CH43" s="56" t="str">
        <f t="shared" si="35"/>
        <v>x</v>
      </c>
      <c r="CI43" s="56" t="str">
        <f t="shared" si="35"/>
        <v>x</v>
      </c>
      <c r="CJ43" s="56" t="str">
        <f t="shared" si="35"/>
        <v>x</v>
      </c>
      <c r="CK43" s="56" t="str">
        <f t="shared" si="35"/>
        <v>x</v>
      </c>
      <c r="CL43" s="56" t="str">
        <f t="shared" si="35"/>
        <v>x</v>
      </c>
      <c r="CM43" s="56" t="str">
        <f t="shared" si="35"/>
        <v>x</v>
      </c>
      <c r="CN43" s="56" t="str">
        <f t="shared" si="35"/>
        <v>x</v>
      </c>
      <c r="CO43" s="56" t="str">
        <f t="shared" si="35"/>
        <v>x</v>
      </c>
      <c r="CP43" s="56" t="str">
        <f t="shared" si="34"/>
        <v>x</v>
      </c>
      <c r="CQ43" s="56" t="str">
        <f t="shared" si="34"/>
        <v>x</v>
      </c>
      <c r="CR43" s="56" t="str">
        <f t="shared" si="34"/>
        <v>x</v>
      </c>
      <c r="CS43" s="56" t="str">
        <f t="shared" si="34"/>
        <v>x</v>
      </c>
      <c r="CT43" s="56" t="str">
        <f t="shared" si="34"/>
        <v>x</v>
      </c>
      <c r="CU43" s="56" t="str">
        <f t="shared" si="34"/>
        <v>x</v>
      </c>
      <c r="CV43" s="56" t="str">
        <f t="shared" si="34"/>
        <v>x</v>
      </c>
      <c r="CW43" s="56" t="str">
        <f t="shared" si="34"/>
        <v>x</v>
      </c>
      <c r="CX43" s="56" t="str">
        <f t="shared" si="34"/>
        <v>x</v>
      </c>
      <c r="CY43" s="56" t="str">
        <f t="shared" si="34"/>
        <v>--</v>
      </c>
      <c r="CZ43" s="56" t="str">
        <f t="shared" si="34"/>
        <v>x</v>
      </c>
      <c r="DA43" s="56" t="str">
        <f t="shared" si="34"/>
        <v>x</v>
      </c>
      <c r="DB43" s="56" t="str">
        <f t="shared" si="34"/>
        <v>x</v>
      </c>
      <c r="DC43" s="56" t="str">
        <f t="shared" si="34"/>
        <v>x</v>
      </c>
      <c r="DD43" s="56" t="str">
        <f t="shared" si="34"/>
        <v>x</v>
      </c>
      <c r="DE43" s="56" t="str">
        <f t="shared" si="30"/>
        <v>x</v>
      </c>
      <c r="DF43" s="56" t="str">
        <f t="shared" si="30"/>
        <v>x</v>
      </c>
      <c r="DG43" s="56" t="str">
        <f t="shared" si="30"/>
        <v>x</v>
      </c>
      <c r="DH43" s="56" t="str">
        <f t="shared" si="30"/>
        <v>x</v>
      </c>
      <c r="DI43" s="56" t="str">
        <f t="shared" si="30"/>
        <v>x</v>
      </c>
      <c r="DJ43" s="56" t="str">
        <f t="shared" si="30"/>
        <v>x</v>
      </c>
      <c r="DK43" s="56" t="str">
        <f t="shared" si="30"/>
        <v>x</v>
      </c>
      <c r="DL43" s="56" t="str">
        <f t="shared" si="29"/>
        <v>x</v>
      </c>
      <c r="DM43" s="56" t="str">
        <f t="shared" si="16"/>
        <v>x</v>
      </c>
      <c r="DN43" s="56" t="str">
        <f t="shared" si="16"/>
        <v>x</v>
      </c>
      <c r="DO43" s="56" t="str">
        <f t="shared" si="16"/>
        <v>x</v>
      </c>
    </row>
    <row r="44" spans="1:119" s="15" customFormat="1" ht="43.8" thickBot="1">
      <c r="A44" s="131"/>
      <c r="B44" s="30" t="s">
        <v>123</v>
      </c>
      <c r="C44" s="29" t="s">
        <v>310</v>
      </c>
      <c r="D44" s="130" t="s">
        <v>248</v>
      </c>
      <c r="E44" s="23" t="s">
        <v>169</v>
      </c>
      <c r="F44" s="36" t="s">
        <v>3</v>
      </c>
      <c r="G44" s="37"/>
      <c r="H44" s="37"/>
      <c r="I44" s="37"/>
      <c r="J44" s="119"/>
      <c r="K44" s="56" t="str">
        <f t="shared" si="20"/>
        <v>x</v>
      </c>
      <c r="L44" s="56" t="str">
        <f t="shared" si="20"/>
        <v>x</v>
      </c>
      <c r="M44" s="56" t="str">
        <f t="shared" si="20"/>
        <v>x</v>
      </c>
      <c r="N44" s="56" t="str">
        <f t="shared" si="20"/>
        <v>x</v>
      </c>
      <c r="O44" s="56" t="str">
        <f t="shared" si="20"/>
        <v>x</v>
      </c>
      <c r="P44" s="56" t="str">
        <f t="shared" si="20"/>
        <v>x</v>
      </c>
      <c r="Q44" s="56" t="str">
        <f t="shared" si="20"/>
        <v>x</v>
      </c>
      <c r="R44" s="56" t="str">
        <f t="shared" si="20"/>
        <v>x</v>
      </c>
      <c r="S44" s="56" t="str">
        <f t="shared" si="20"/>
        <v>x</v>
      </c>
      <c r="T44" s="56" t="str">
        <f t="shared" si="20"/>
        <v>x</v>
      </c>
      <c r="U44" s="56" t="str">
        <f t="shared" si="21"/>
        <v>x</v>
      </c>
      <c r="V44" s="56" t="str">
        <f t="shared" si="21"/>
        <v>x</v>
      </c>
      <c r="W44" s="56" t="str">
        <f t="shared" si="21"/>
        <v>x</v>
      </c>
      <c r="X44" s="56" t="str">
        <f t="shared" si="21"/>
        <v>x</v>
      </c>
      <c r="Y44" s="56" t="str">
        <f t="shared" si="21"/>
        <v>x</v>
      </c>
      <c r="Z44" s="56" t="str">
        <f t="shared" si="21"/>
        <v>x</v>
      </c>
      <c r="AA44" s="56" t="str">
        <f t="shared" si="21"/>
        <v>x</v>
      </c>
      <c r="AB44" s="56" t="str">
        <f t="shared" si="21"/>
        <v>x</v>
      </c>
      <c r="AC44" s="56" t="str">
        <f t="shared" si="21"/>
        <v>x</v>
      </c>
      <c r="AD44" s="56" t="str">
        <f t="shared" si="21"/>
        <v>x</v>
      </c>
      <c r="AE44" s="56" t="str">
        <f t="shared" si="31"/>
        <v>x</v>
      </c>
      <c r="AF44" s="56" t="str">
        <f t="shared" si="31"/>
        <v>x</v>
      </c>
      <c r="AG44" s="56" t="str">
        <f t="shared" si="31"/>
        <v>x</v>
      </c>
      <c r="AH44" s="56" t="str">
        <f t="shared" si="31"/>
        <v>x</v>
      </c>
      <c r="AI44" s="56" t="str">
        <f t="shared" si="31"/>
        <v>x</v>
      </c>
      <c r="AJ44" s="56" t="str">
        <f t="shared" si="31"/>
        <v>x</v>
      </c>
      <c r="AK44" s="56" t="str">
        <f t="shared" si="31"/>
        <v>x</v>
      </c>
      <c r="AL44" s="56" t="str">
        <f t="shared" si="31"/>
        <v>x</v>
      </c>
      <c r="AM44" s="56" t="str">
        <f t="shared" si="31"/>
        <v>x</v>
      </c>
      <c r="AN44" s="56" t="str">
        <f t="shared" si="31"/>
        <v>x</v>
      </c>
      <c r="AO44" s="56" t="str">
        <f t="shared" si="31"/>
        <v>x</v>
      </c>
      <c r="AP44" s="56" t="str">
        <f t="shared" si="31"/>
        <v>x</v>
      </c>
      <c r="AQ44" s="56" t="str">
        <f t="shared" si="31"/>
        <v>x</v>
      </c>
      <c r="AR44" s="56" t="str">
        <f t="shared" si="31"/>
        <v>x</v>
      </c>
      <c r="AS44" s="56" t="str">
        <f t="shared" si="31"/>
        <v>x</v>
      </c>
      <c r="AT44" s="56" t="str">
        <f t="shared" si="31"/>
        <v>x</v>
      </c>
      <c r="AU44" s="56" t="str">
        <f t="shared" ref="AU44:BJ62" si="37">IFERROR(IF(SEARCH(AU$5,$D44),$F44,"-"),"x")</f>
        <v>x</v>
      </c>
      <c r="AV44" s="56" t="str">
        <f t="shared" si="37"/>
        <v>--</v>
      </c>
      <c r="AW44" s="56" t="str">
        <f t="shared" si="37"/>
        <v>x</v>
      </c>
      <c r="AX44" s="56" t="str">
        <f t="shared" si="37"/>
        <v>x</v>
      </c>
      <c r="AY44" s="56" t="str">
        <f t="shared" si="37"/>
        <v>x</v>
      </c>
      <c r="AZ44" s="56" t="str">
        <f t="shared" si="37"/>
        <v>x</v>
      </c>
      <c r="BA44" s="56" t="str">
        <f t="shared" si="37"/>
        <v>x</v>
      </c>
      <c r="BB44" s="56" t="str">
        <f t="shared" si="37"/>
        <v>x</v>
      </c>
      <c r="BC44" s="56" t="str">
        <f t="shared" si="37"/>
        <v>x</v>
      </c>
      <c r="BD44" s="56" t="str">
        <f t="shared" si="37"/>
        <v>x</v>
      </c>
      <c r="BE44" s="56" t="str">
        <f t="shared" si="37"/>
        <v>x</v>
      </c>
      <c r="BF44" s="56" t="str">
        <f t="shared" si="37"/>
        <v>x</v>
      </c>
      <c r="BG44" s="56" t="str">
        <f t="shared" si="37"/>
        <v>x</v>
      </c>
      <c r="BH44" s="56" t="str">
        <f t="shared" si="37"/>
        <v>x</v>
      </c>
      <c r="BI44" s="56" t="str">
        <f t="shared" si="37"/>
        <v>x</v>
      </c>
      <c r="BJ44" s="56" t="str">
        <f t="shared" si="37"/>
        <v>x</v>
      </c>
      <c r="BK44" s="56" t="str">
        <f t="shared" si="36"/>
        <v>x</v>
      </c>
      <c r="BL44" s="56" t="str">
        <f t="shared" si="36"/>
        <v>x</v>
      </c>
      <c r="BM44" s="56" t="str">
        <f t="shared" si="36"/>
        <v>x</v>
      </c>
      <c r="BN44" s="56" t="str">
        <f t="shared" si="36"/>
        <v>x</v>
      </c>
      <c r="BO44" s="56" t="str">
        <f t="shared" si="33"/>
        <v>x</v>
      </c>
      <c r="BP44" s="56" t="str">
        <f t="shared" si="33"/>
        <v>x</v>
      </c>
      <c r="BQ44" s="56" t="str">
        <f t="shared" si="33"/>
        <v>x</v>
      </c>
      <c r="BR44" s="56" t="str">
        <f t="shared" si="33"/>
        <v>x</v>
      </c>
      <c r="BS44" s="56" t="str">
        <f t="shared" si="32"/>
        <v>x</v>
      </c>
      <c r="BT44" s="56" t="str">
        <f t="shared" si="32"/>
        <v>x</v>
      </c>
      <c r="BU44" s="56" t="str">
        <f t="shared" si="32"/>
        <v>x</v>
      </c>
      <c r="BV44" s="56" t="str">
        <f t="shared" si="32"/>
        <v>x</v>
      </c>
      <c r="BW44" s="56" t="str">
        <f t="shared" si="32"/>
        <v>x</v>
      </c>
      <c r="BX44" s="56" t="str">
        <f t="shared" si="32"/>
        <v>x</v>
      </c>
      <c r="BY44" s="56" t="str">
        <f t="shared" si="32"/>
        <v>x</v>
      </c>
      <c r="BZ44" s="56" t="str">
        <f t="shared" si="35"/>
        <v>x</v>
      </c>
      <c r="CA44" s="56" t="str">
        <f t="shared" si="35"/>
        <v>x</v>
      </c>
      <c r="CB44" s="56" t="str">
        <f t="shared" si="35"/>
        <v>x</v>
      </c>
      <c r="CC44" s="56" t="str">
        <f t="shared" si="35"/>
        <v>x</v>
      </c>
      <c r="CD44" s="56" t="str">
        <f t="shared" si="35"/>
        <v>x</v>
      </c>
      <c r="CE44" s="56" t="str">
        <f t="shared" si="35"/>
        <v>x</v>
      </c>
      <c r="CF44" s="56" t="str">
        <f t="shared" si="35"/>
        <v>x</v>
      </c>
      <c r="CG44" s="56" t="str">
        <f t="shared" si="35"/>
        <v>--</v>
      </c>
      <c r="CH44" s="56" t="str">
        <f t="shared" si="35"/>
        <v>x</v>
      </c>
      <c r="CI44" s="56" t="str">
        <f t="shared" si="35"/>
        <v>x</v>
      </c>
      <c r="CJ44" s="56" t="str">
        <f t="shared" si="35"/>
        <v>x</v>
      </c>
      <c r="CK44" s="56" t="str">
        <f t="shared" si="35"/>
        <v>x</v>
      </c>
      <c r="CL44" s="56" t="str">
        <f t="shared" si="35"/>
        <v>x</v>
      </c>
      <c r="CM44" s="56" t="str">
        <f t="shared" si="35"/>
        <v>x</v>
      </c>
      <c r="CN44" s="56" t="str">
        <f t="shared" si="35"/>
        <v>x</v>
      </c>
      <c r="CO44" s="56" t="str">
        <f t="shared" si="35"/>
        <v>x</v>
      </c>
      <c r="CP44" s="56" t="str">
        <f t="shared" si="34"/>
        <v>x</v>
      </c>
      <c r="CQ44" s="56" t="str">
        <f t="shared" si="34"/>
        <v>x</v>
      </c>
      <c r="CR44" s="56" t="str">
        <f t="shared" si="34"/>
        <v>x</v>
      </c>
      <c r="CS44" s="56" t="str">
        <f t="shared" si="34"/>
        <v>x</v>
      </c>
      <c r="CT44" s="56" t="str">
        <f t="shared" si="34"/>
        <v>x</v>
      </c>
      <c r="CU44" s="56" t="str">
        <f t="shared" si="34"/>
        <v>x</v>
      </c>
      <c r="CV44" s="56" t="str">
        <f t="shared" si="34"/>
        <v>x</v>
      </c>
      <c r="CW44" s="56" t="str">
        <f t="shared" si="34"/>
        <v>x</v>
      </c>
      <c r="CX44" s="56" t="str">
        <f t="shared" si="34"/>
        <v>x</v>
      </c>
      <c r="CY44" s="56" t="str">
        <f t="shared" si="34"/>
        <v>x</v>
      </c>
      <c r="CZ44" s="56" t="str">
        <f t="shared" si="34"/>
        <v>x</v>
      </c>
      <c r="DA44" s="56" t="str">
        <f t="shared" si="34"/>
        <v>x</v>
      </c>
      <c r="DB44" s="56" t="str">
        <f t="shared" si="34"/>
        <v>x</v>
      </c>
      <c r="DC44" s="56" t="str">
        <f t="shared" si="34"/>
        <v>x</v>
      </c>
      <c r="DD44" s="56" t="str">
        <f t="shared" si="34"/>
        <v>x</v>
      </c>
      <c r="DE44" s="56" t="str">
        <f t="shared" si="30"/>
        <v>x</v>
      </c>
      <c r="DF44" s="56" t="str">
        <f t="shared" si="30"/>
        <v>x</v>
      </c>
      <c r="DG44" s="56" t="str">
        <f t="shared" si="30"/>
        <v>x</v>
      </c>
      <c r="DH44" s="56" t="str">
        <f t="shared" si="30"/>
        <v>x</v>
      </c>
      <c r="DI44" s="56" t="str">
        <f t="shared" si="30"/>
        <v>x</v>
      </c>
      <c r="DJ44" s="56" t="str">
        <f t="shared" si="30"/>
        <v>x</v>
      </c>
      <c r="DK44" s="56" t="str">
        <f t="shared" si="30"/>
        <v>x</v>
      </c>
      <c r="DL44" s="56" t="str">
        <f t="shared" si="29"/>
        <v>x</v>
      </c>
      <c r="DM44" s="56" t="str">
        <f t="shared" si="16"/>
        <v>x</v>
      </c>
      <c r="DN44" s="56" t="str">
        <f t="shared" si="16"/>
        <v>x</v>
      </c>
      <c r="DO44" s="56" t="str">
        <f t="shared" si="16"/>
        <v>x</v>
      </c>
    </row>
    <row r="45" spans="1:119" s="18" customFormat="1" ht="43.5" customHeight="1">
      <c r="A45" s="52"/>
      <c r="B45" s="30" t="s">
        <v>12</v>
      </c>
      <c r="C45" s="29" t="s">
        <v>209</v>
      </c>
      <c r="D45" s="130" t="s">
        <v>249</v>
      </c>
      <c r="E45" s="23" t="s">
        <v>169</v>
      </c>
      <c r="F45" s="36" t="s">
        <v>3</v>
      </c>
      <c r="G45" s="37"/>
      <c r="H45" s="37"/>
      <c r="I45" s="37"/>
      <c r="J45" s="119"/>
      <c r="K45" s="56" t="str">
        <f t="shared" si="20"/>
        <v>x</v>
      </c>
      <c r="L45" s="56" t="str">
        <f t="shared" si="20"/>
        <v>x</v>
      </c>
      <c r="M45" s="56" t="str">
        <f t="shared" si="20"/>
        <v>x</v>
      </c>
      <c r="N45" s="56" t="str">
        <f t="shared" si="20"/>
        <v>x</v>
      </c>
      <c r="O45" s="56" t="str">
        <f t="shared" si="20"/>
        <v>x</v>
      </c>
      <c r="P45" s="56" t="str">
        <f t="shared" si="20"/>
        <v>x</v>
      </c>
      <c r="Q45" s="56" t="str">
        <f t="shared" si="20"/>
        <v>x</v>
      </c>
      <c r="R45" s="56" t="str">
        <f t="shared" si="20"/>
        <v>x</v>
      </c>
      <c r="S45" s="56" t="str">
        <f t="shared" si="20"/>
        <v>x</v>
      </c>
      <c r="T45" s="56" t="str">
        <f t="shared" si="20"/>
        <v>x</v>
      </c>
      <c r="U45" s="56" t="str">
        <f t="shared" si="21"/>
        <v>x</v>
      </c>
      <c r="V45" s="56" t="str">
        <f t="shared" si="21"/>
        <v>x</v>
      </c>
      <c r="W45" s="56" t="str">
        <f t="shared" si="21"/>
        <v>x</v>
      </c>
      <c r="X45" s="56" t="str">
        <f t="shared" si="21"/>
        <v>x</v>
      </c>
      <c r="Y45" s="56" t="str">
        <f t="shared" si="21"/>
        <v>x</v>
      </c>
      <c r="Z45" s="56" t="str">
        <f t="shared" si="21"/>
        <v>x</v>
      </c>
      <c r="AA45" s="56" t="str">
        <f t="shared" si="21"/>
        <v>x</v>
      </c>
      <c r="AB45" s="56" t="str">
        <f t="shared" si="21"/>
        <v>x</v>
      </c>
      <c r="AC45" s="56" t="str">
        <f t="shared" si="21"/>
        <v>x</v>
      </c>
      <c r="AD45" s="56" t="str">
        <f t="shared" si="21"/>
        <v>x</v>
      </c>
      <c r="AE45" s="56" t="str">
        <f t="shared" si="31"/>
        <v>x</v>
      </c>
      <c r="AF45" s="56" t="str">
        <f t="shared" si="31"/>
        <v>x</v>
      </c>
      <c r="AG45" s="56" t="str">
        <f t="shared" si="31"/>
        <v>x</v>
      </c>
      <c r="AH45" s="56" t="str">
        <f t="shared" si="31"/>
        <v>x</v>
      </c>
      <c r="AI45" s="56" t="str">
        <f t="shared" si="31"/>
        <v>x</v>
      </c>
      <c r="AJ45" s="56" t="str">
        <f t="shared" si="31"/>
        <v>x</v>
      </c>
      <c r="AK45" s="56" t="str">
        <f t="shared" si="31"/>
        <v>x</v>
      </c>
      <c r="AL45" s="56" t="str">
        <f t="shared" si="31"/>
        <v>x</v>
      </c>
      <c r="AM45" s="56" t="str">
        <f t="shared" si="31"/>
        <v>x</v>
      </c>
      <c r="AN45" s="56" t="str">
        <f t="shared" si="31"/>
        <v>x</v>
      </c>
      <c r="AO45" s="56" t="str">
        <f t="shared" si="31"/>
        <v>x</v>
      </c>
      <c r="AP45" s="56" t="str">
        <f t="shared" si="31"/>
        <v>x</v>
      </c>
      <c r="AQ45" s="56" t="str">
        <f t="shared" si="31"/>
        <v>x</v>
      </c>
      <c r="AR45" s="56" t="str">
        <f t="shared" si="31"/>
        <v>x</v>
      </c>
      <c r="AS45" s="56" t="str">
        <f t="shared" si="31"/>
        <v>x</v>
      </c>
      <c r="AT45" s="56" t="str">
        <f t="shared" si="31"/>
        <v>x</v>
      </c>
      <c r="AU45" s="56" t="str">
        <f t="shared" si="37"/>
        <v>x</v>
      </c>
      <c r="AV45" s="56" t="str">
        <f t="shared" si="37"/>
        <v>x</v>
      </c>
      <c r="AW45" s="56" t="str">
        <f t="shared" si="37"/>
        <v>--</v>
      </c>
      <c r="AX45" s="56" t="str">
        <f t="shared" si="37"/>
        <v>x</v>
      </c>
      <c r="AY45" s="56" t="str">
        <f t="shared" si="37"/>
        <v>x</v>
      </c>
      <c r="AZ45" s="56" t="str">
        <f t="shared" si="37"/>
        <v>x</v>
      </c>
      <c r="BA45" s="56" t="str">
        <f t="shared" si="37"/>
        <v>x</v>
      </c>
      <c r="BB45" s="56" t="str">
        <f t="shared" si="37"/>
        <v>x</v>
      </c>
      <c r="BC45" s="56" t="str">
        <f t="shared" si="37"/>
        <v>x</v>
      </c>
      <c r="BD45" s="56" t="str">
        <f t="shared" si="37"/>
        <v>x</v>
      </c>
      <c r="BE45" s="56" t="str">
        <f t="shared" si="37"/>
        <v>x</v>
      </c>
      <c r="BF45" s="56" t="str">
        <f t="shared" si="37"/>
        <v>x</v>
      </c>
      <c r="BG45" s="56" t="str">
        <f t="shared" si="37"/>
        <v>x</v>
      </c>
      <c r="BH45" s="56" t="str">
        <f t="shared" si="37"/>
        <v>x</v>
      </c>
      <c r="BI45" s="56" t="str">
        <f t="shared" si="37"/>
        <v>x</v>
      </c>
      <c r="BJ45" s="56" t="str">
        <f t="shared" si="37"/>
        <v>x</v>
      </c>
      <c r="BK45" s="56" t="str">
        <f t="shared" si="36"/>
        <v>x</v>
      </c>
      <c r="BL45" s="56" t="str">
        <f t="shared" si="36"/>
        <v>x</v>
      </c>
      <c r="BM45" s="56" t="str">
        <f t="shared" si="36"/>
        <v>x</v>
      </c>
      <c r="BN45" s="56" t="str">
        <f t="shared" si="36"/>
        <v>x</v>
      </c>
      <c r="BO45" s="56" t="str">
        <f t="shared" si="33"/>
        <v>x</v>
      </c>
      <c r="BP45" s="56" t="str">
        <f t="shared" si="33"/>
        <v>x</v>
      </c>
      <c r="BQ45" s="56" t="str">
        <f t="shared" si="33"/>
        <v>x</v>
      </c>
      <c r="BR45" s="56" t="str">
        <f t="shared" si="33"/>
        <v>x</v>
      </c>
      <c r="BS45" s="56" t="str">
        <f t="shared" si="32"/>
        <v>x</v>
      </c>
      <c r="BT45" s="56" t="str">
        <f t="shared" si="32"/>
        <v>x</v>
      </c>
      <c r="BU45" s="56" t="str">
        <f t="shared" si="32"/>
        <v>x</v>
      </c>
      <c r="BV45" s="56" t="str">
        <f t="shared" si="32"/>
        <v>x</v>
      </c>
      <c r="BW45" s="56" t="str">
        <f t="shared" si="32"/>
        <v>x</v>
      </c>
      <c r="BX45" s="56" t="str">
        <f t="shared" si="32"/>
        <v>x</v>
      </c>
      <c r="BY45" s="56" t="str">
        <f t="shared" si="32"/>
        <v>x</v>
      </c>
      <c r="BZ45" s="56" t="str">
        <f t="shared" si="35"/>
        <v>x</v>
      </c>
      <c r="CA45" s="56" t="str">
        <f t="shared" si="35"/>
        <v>x</v>
      </c>
      <c r="CB45" s="56" t="str">
        <f t="shared" si="35"/>
        <v>x</v>
      </c>
      <c r="CC45" s="56" t="str">
        <f t="shared" si="35"/>
        <v>x</v>
      </c>
      <c r="CD45" s="56" t="str">
        <f t="shared" si="35"/>
        <v>x</v>
      </c>
      <c r="CE45" s="56" t="str">
        <f t="shared" si="35"/>
        <v>x</v>
      </c>
      <c r="CF45" s="56" t="str">
        <f t="shared" si="35"/>
        <v>x</v>
      </c>
      <c r="CG45" s="56" t="str">
        <f t="shared" si="35"/>
        <v>--</v>
      </c>
      <c r="CH45" s="56" t="str">
        <f t="shared" si="35"/>
        <v>x</v>
      </c>
      <c r="CI45" s="56" t="str">
        <f t="shared" si="35"/>
        <v>x</v>
      </c>
      <c r="CJ45" s="56" t="str">
        <f t="shared" si="35"/>
        <v>x</v>
      </c>
      <c r="CK45" s="56" t="str">
        <f t="shared" si="35"/>
        <v>x</v>
      </c>
      <c r="CL45" s="56" t="str">
        <f t="shared" si="35"/>
        <v>x</v>
      </c>
      <c r="CM45" s="56" t="str">
        <f t="shared" si="35"/>
        <v>x</v>
      </c>
      <c r="CN45" s="56" t="str">
        <f t="shared" si="35"/>
        <v>x</v>
      </c>
      <c r="CO45" s="56" t="str">
        <f t="shared" si="35"/>
        <v>x</v>
      </c>
      <c r="CP45" s="56" t="str">
        <f t="shared" si="34"/>
        <v>x</v>
      </c>
      <c r="CQ45" s="56" t="str">
        <f t="shared" si="34"/>
        <v>x</v>
      </c>
      <c r="CR45" s="56" t="str">
        <f t="shared" si="34"/>
        <v>x</v>
      </c>
      <c r="CS45" s="56" t="str">
        <f t="shared" si="34"/>
        <v>x</v>
      </c>
      <c r="CT45" s="56" t="str">
        <f t="shared" si="34"/>
        <v>x</v>
      </c>
      <c r="CU45" s="56" t="str">
        <f t="shared" si="34"/>
        <v>x</v>
      </c>
      <c r="CV45" s="56" t="str">
        <f t="shared" si="34"/>
        <v>x</v>
      </c>
      <c r="CW45" s="56" t="str">
        <f t="shared" si="34"/>
        <v>x</v>
      </c>
      <c r="CX45" s="56" t="str">
        <f t="shared" si="34"/>
        <v>x</v>
      </c>
      <c r="CY45" s="56" t="str">
        <f t="shared" si="34"/>
        <v>x</v>
      </c>
      <c r="CZ45" s="56" t="str">
        <f t="shared" si="34"/>
        <v>x</v>
      </c>
      <c r="DA45" s="56" t="str">
        <f t="shared" si="34"/>
        <v>x</v>
      </c>
      <c r="DB45" s="56" t="str">
        <f t="shared" si="34"/>
        <v>x</v>
      </c>
      <c r="DC45" s="56" t="str">
        <f t="shared" si="34"/>
        <v>x</v>
      </c>
      <c r="DD45" s="56" t="str">
        <f t="shared" si="34"/>
        <v>x</v>
      </c>
      <c r="DE45" s="56" t="str">
        <f t="shared" si="30"/>
        <v>x</v>
      </c>
      <c r="DF45" s="56" t="str">
        <f t="shared" si="30"/>
        <v>x</v>
      </c>
      <c r="DG45" s="56" t="str">
        <f t="shared" si="30"/>
        <v>x</v>
      </c>
      <c r="DH45" s="56" t="str">
        <f t="shared" si="30"/>
        <v>x</v>
      </c>
      <c r="DI45" s="56" t="str">
        <f t="shared" si="30"/>
        <v>x</v>
      </c>
      <c r="DJ45" s="56" t="str">
        <f t="shared" si="30"/>
        <v>x</v>
      </c>
      <c r="DK45" s="56" t="str">
        <f t="shared" si="30"/>
        <v>x</v>
      </c>
      <c r="DL45" s="56" t="str">
        <f t="shared" si="29"/>
        <v>x</v>
      </c>
      <c r="DM45" s="56" t="str">
        <f t="shared" si="16"/>
        <v>x</v>
      </c>
      <c r="DN45" s="56" t="str">
        <f t="shared" si="16"/>
        <v>x</v>
      </c>
      <c r="DO45" s="56" t="str">
        <f t="shared" si="16"/>
        <v>x</v>
      </c>
    </row>
    <row r="46" spans="1:119" s="13" customFormat="1" ht="29.4" thickBot="1">
      <c r="A46" s="52"/>
      <c r="B46" s="30" t="s">
        <v>124</v>
      </c>
      <c r="C46" s="29" t="s">
        <v>210</v>
      </c>
      <c r="D46" s="130" t="s">
        <v>250</v>
      </c>
      <c r="E46" s="23" t="s">
        <v>169</v>
      </c>
      <c r="F46" s="36" t="s">
        <v>3</v>
      </c>
      <c r="G46" s="37"/>
      <c r="H46" s="37"/>
      <c r="I46" s="37"/>
      <c r="J46" s="119"/>
      <c r="K46" s="56" t="str">
        <f t="shared" si="20"/>
        <v>x</v>
      </c>
      <c r="L46" s="56" t="str">
        <f t="shared" si="20"/>
        <v>x</v>
      </c>
      <c r="M46" s="56" t="str">
        <f t="shared" si="20"/>
        <v>x</v>
      </c>
      <c r="N46" s="56" t="str">
        <f t="shared" si="20"/>
        <v>x</v>
      </c>
      <c r="O46" s="56" t="str">
        <f t="shared" si="20"/>
        <v>x</v>
      </c>
      <c r="P46" s="56" t="str">
        <f t="shared" si="20"/>
        <v>x</v>
      </c>
      <c r="Q46" s="56" t="str">
        <f t="shared" si="20"/>
        <v>x</v>
      </c>
      <c r="R46" s="56" t="str">
        <f t="shared" si="20"/>
        <v>x</v>
      </c>
      <c r="S46" s="56" t="str">
        <f t="shared" si="20"/>
        <v>x</v>
      </c>
      <c r="T46" s="56" t="str">
        <f t="shared" si="20"/>
        <v>x</v>
      </c>
      <c r="U46" s="56" t="str">
        <f t="shared" si="21"/>
        <v>x</v>
      </c>
      <c r="V46" s="56" t="str">
        <f t="shared" si="21"/>
        <v>x</v>
      </c>
      <c r="W46" s="56" t="str">
        <f t="shared" si="21"/>
        <v>x</v>
      </c>
      <c r="X46" s="56" t="str">
        <f t="shared" si="21"/>
        <v>x</v>
      </c>
      <c r="Y46" s="56" t="str">
        <f t="shared" si="21"/>
        <v>x</v>
      </c>
      <c r="Z46" s="56" t="str">
        <f t="shared" si="21"/>
        <v>x</v>
      </c>
      <c r="AA46" s="56" t="str">
        <f t="shared" si="21"/>
        <v>x</v>
      </c>
      <c r="AB46" s="56" t="str">
        <f t="shared" si="21"/>
        <v>x</v>
      </c>
      <c r="AC46" s="56" t="str">
        <f t="shared" si="21"/>
        <v>x</v>
      </c>
      <c r="AD46" s="56" t="str">
        <f t="shared" si="21"/>
        <v>x</v>
      </c>
      <c r="AE46" s="56" t="str">
        <f t="shared" si="31"/>
        <v>x</v>
      </c>
      <c r="AF46" s="56" t="str">
        <f t="shared" si="31"/>
        <v>x</v>
      </c>
      <c r="AG46" s="56" t="str">
        <f t="shared" si="31"/>
        <v>x</v>
      </c>
      <c r="AH46" s="56" t="str">
        <f t="shared" si="31"/>
        <v>x</v>
      </c>
      <c r="AI46" s="56" t="str">
        <f t="shared" si="31"/>
        <v>x</v>
      </c>
      <c r="AJ46" s="56" t="str">
        <f t="shared" si="31"/>
        <v>x</v>
      </c>
      <c r="AK46" s="56" t="str">
        <f t="shared" si="31"/>
        <v>x</v>
      </c>
      <c r="AL46" s="56" t="str">
        <f t="shared" si="31"/>
        <v>x</v>
      </c>
      <c r="AM46" s="56" t="str">
        <f t="shared" si="31"/>
        <v>x</v>
      </c>
      <c r="AN46" s="56" t="str">
        <f t="shared" si="31"/>
        <v>x</v>
      </c>
      <c r="AO46" s="56" t="str">
        <f t="shared" si="31"/>
        <v>x</v>
      </c>
      <c r="AP46" s="56" t="str">
        <f t="shared" si="31"/>
        <v>x</v>
      </c>
      <c r="AQ46" s="56" t="str">
        <f t="shared" si="31"/>
        <v>x</v>
      </c>
      <c r="AR46" s="56" t="str">
        <f t="shared" si="31"/>
        <v>x</v>
      </c>
      <c r="AS46" s="56" t="str">
        <f t="shared" si="31"/>
        <v>x</v>
      </c>
      <c r="AT46" s="56" t="str">
        <f t="shared" si="31"/>
        <v>x</v>
      </c>
      <c r="AU46" s="56" t="str">
        <f t="shared" si="37"/>
        <v>x</v>
      </c>
      <c r="AV46" s="56" t="str">
        <f t="shared" si="37"/>
        <v>x</v>
      </c>
      <c r="AW46" s="56" t="str">
        <f t="shared" si="37"/>
        <v>x</v>
      </c>
      <c r="AX46" s="56" t="str">
        <f t="shared" si="37"/>
        <v>--</v>
      </c>
      <c r="AY46" s="56" t="str">
        <f t="shared" si="37"/>
        <v>x</v>
      </c>
      <c r="AZ46" s="56" t="str">
        <f t="shared" si="37"/>
        <v>x</v>
      </c>
      <c r="BA46" s="56" t="str">
        <f t="shared" si="37"/>
        <v>x</v>
      </c>
      <c r="BB46" s="56" t="str">
        <f t="shared" si="37"/>
        <v>x</v>
      </c>
      <c r="BC46" s="56" t="str">
        <f t="shared" si="37"/>
        <v>x</v>
      </c>
      <c r="BD46" s="56" t="str">
        <f t="shared" si="37"/>
        <v>x</v>
      </c>
      <c r="BE46" s="56" t="str">
        <f t="shared" si="37"/>
        <v>x</v>
      </c>
      <c r="BF46" s="56" t="str">
        <f t="shared" si="37"/>
        <v>x</v>
      </c>
      <c r="BG46" s="56" t="str">
        <f t="shared" si="37"/>
        <v>x</v>
      </c>
      <c r="BH46" s="56" t="str">
        <f t="shared" si="37"/>
        <v>x</v>
      </c>
      <c r="BI46" s="56" t="str">
        <f t="shared" si="37"/>
        <v>x</v>
      </c>
      <c r="BJ46" s="56" t="str">
        <f t="shared" si="37"/>
        <v>x</v>
      </c>
      <c r="BK46" s="56" t="str">
        <f t="shared" si="36"/>
        <v>x</v>
      </c>
      <c r="BL46" s="56" t="str">
        <f t="shared" si="36"/>
        <v>x</v>
      </c>
      <c r="BM46" s="56" t="str">
        <f t="shared" si="36"/>
        <v>x</v>
      </c>
      <c r="BN46" s="56" t="str">
        <f t="shared" si="36"/>
        <v>x</v>
      </c>
      <c r="BO46" s="56" t="str">
        <f t="shared" si="33"/>
        <v>x</v>
      </c>
      <c r="BP46" s="56" t="str">
        <f t="shared" si="33"/>
        <v>x</v>
      </c>
      <c r="BQ46" s="56" t="str">
        <f t="shared" si="33"/>
        <v>x</v>
      </c>
      <c r="BR46" s="56" t="str">
        <f t="shared" si="33"/>
        <v>x</v>
      </c>
      <c r="BS46" s="56" t="str">
        <f t="shared" si="32"/>
        <v>x</v>
      </c>
      <c r="BT46" s="56" t="str">
        <f t="shared" si="32"/>
        <v>x</v>
      </c>
      <c r="BU46" s="56" t="str">
        <f t="shared" si="32"/>
        <v>x</v>
      </c>
      <c r="BV46" s="56" t="str">
        <f t="shared" si="32"/>
        <v>x</v>
      </c>
      <c r="BW46" s="56" t="str">
        <f t="shared" si="32"/>
        <v>x</v>
      </c>
      <c r="BX46" s="56" t="str">
        <f t="shared" si="32"/>
        <v>x</v>
      </c>
      <c r="BY46" s="56" t="str">
        <f t="shared" si="32"/>
        <v>x</v>
      </c>
      <c r="BZ46" s="56" t="str">
        <f t="shared" si="35"/>
        <v>x</v>
      </c>
      <c r="CA46" s="56" t="str">
        <f t="shared" si="35"/>
        <v>x</v>
      </c>
      <c r="CB46" s="56" t="str">
        <f t="shared" si="35"/>
        <v>x</v>
      </c>
      <c r="CC46" s="56" t="str">
        <f t="shared" si="35"/>
        <v>x</v>
      </c>
      <c r="CD46" s="56" t="str">
        <f t="shared" si="35"/>
        <v>x</v>
      </c>
      <c r="CE46" s="56" t="str">
        <f t="shared" si="35"/>
        <v>x</v>
      </c>
      <c r="CF46" s="56" t="str">
        <f t="shared" si="35"/>
        <v>x</v>
      </c>
      <c r="CG46" s="56" t="str">
        <f t="shared" si="35"/>
        <v>--</v>
      </c>
      <c r="CH46" s="56" t="str">
        <f t="shared" si="35"/>
        <v>x</v>
      </c>
      <c r="CI46" s="56" t="str">
        <f t="shared" si="35"/>
        <v>x</v>
      </c>
      <c r="CJ46" s="56" t="str">
        <f t="shared" si="35"/>
        <v>x</v>
      </c>
      <c r="CK46" s="56" t="str">
        <f t="shared" si="35"/>
        <v>x</v>
      </c>
      <c r="CL46" s="56" t="str">
        <f t="shared" si="35"/>
        <v>x</v>
      </c>
      <c r="CM46" s="56" t="str">
        <f t="shared" si="35"/>
        <v>x</v>
      </c>
      <c r="CN46" s="56" t="str">
        <f t="shared" si="35"/>
        <v>x</v>
      </c>
      <c r="CO46" s="56" t="str">
        <f t="shared" si="35"/>
        <v>x</v>
      </c>
      <c r="CP46" s="56" t="str">
        <f t="shared" si="34"/>
        <v>x</v>
      </c>
      <c r="CQ46" s="56" t="str">
        <f t="shared" si="34"/>
        <v>x</v>
      </c>
      <c r="CR46" s="56" t="str">
        <f t="shared" si="34"/>
        <v>x</v>
      </c>
      <c r="CS46" s="56" t="str">
        <f t="shared" si="34"/>
        <v>x</v>
      </c>
      <c r="CT46" s="56" t="str">
        <f t="shared" si="34"/>
        <v>x</v>
      </c>
      <c r="CU46" s="56" t="str">
        <f t="shared" si="34"/>
        <v>x</v>
      </c>
      <c r="CV46" s="56" t="str">
        <f t="shared" si="34"/>
        <v>x</v>
      </c>
      <c r="CW46" s="56" t="str">
        <f t="shared" si="34"/>
        <v>x</v>
      </c>
      <c r="CX46" s="56" t="str">
        <f t="shared" si="34"/>
        <v>x</v>
      </c>
      <c r="CY46" s="56" t="str">
        <f t="shared" si="34"/>
        <v>x</v>
      </c>
      <c r="CZ46" s="56" t="str">
        <f t="shared" si="34"/>
        <v>x</v>
      </c>
      <c r="DA46" s="56" t="str">
        <f t="shared" si="34"/>
        <v>x</v>
      </c>
      <c r="DB46" s="56" t="str">
        <f t="shared" si="34"/>
        <v>x</v>
      </c>
      <c r="DC46" s="56" t="str">
        <f t="shared" si="34"/>
        <v>x</v>
      </c>
      <c r="DD46" s="56" t="str">
        <f t="shared" si="34"/>
        <v>x</v>
      </c>
      <c r="DE46" s="56" t="str">
        <f t="shared" si="30"/>
        <v>x</v>
      </c>
      <c r="DF46" s="56" t="str">
        <f t="shared" si="30"/>
        <v>x</v>
      </c>
      <c r="DG46" s="56" t="str">
        <f t="shared" si="30"/>
        <v>x</v>
      </c>
      <c r="DH46" s="56" t="str">
        <f t="shared" si="30"/>
        <v>x</v>
      </c>
      <c r="DI46" s="56" t="str">
        <f t="shared" si="30"/>
        <v>x</v>
      </c>
      <c r="DJ46" s="56" t="str">
        <f t="shared" si="30"/>
        <v>x</v>
      </c>
      <c r="DK46" s="56" t="str">
        <f t="shared" si="30"/>
        <v>x</v>
      </c>
      <c r="DL46" s="56" t="str">
        <f t="shared" si="29"/>
        <v>x</v>
      </c>
      <c r="DM46" s="56" t="str">
        <f t="shared" si="16"/>
        <v>x</v>
      </c>
      <c r="DN46" s="56" t="str">
        <f t="shared" si="16"/>
        <v>x</v>
      </c>
      <c r="DO46" s="56" t="str">
        <f t="shared" si="16"/>
        <v>x</v>
      </c>
    </row>
    <row r="47" spans="1:119" s="18" customFormat="1" ht="29.4" thickBot="1">
      <c r="A47" s="52" t="s">
        <v>312</v>
      </c>
      <c r="B47" s="30" t="s">
        <v>122</v>
      </c>
      <c r="C47" s="29" t="s">
        <v>313</v>
      </c>
      <c r="D47" s="130" t="s">
        <v>252</v>
      </c>
      <c r="E47" s="23" t="s">
        <v>189</v>
      </c>
      <c r="F47" s="36" t="s">
        <v>3</v>
      </c>
      <c r="G47" s="37" t="s">
        <v>8</v>
      </c>
      <c r="H47" s="37"/>
      <c r="I47" s="37"/>
      <c r="J47" s="119"/>
      <c r="K47" s="56" t="str">
        <f t="shared" si="20"/>
        <v>x</v>
      </c>
      <c r="L47" s="56" t="str">
        <f t="shared" si="20"/>
        <v>x</v>
      </c>
      <c r="M47" s="56" t="str">
        <f t="shared" si="20"/>
        <v>x</v>
      </c>
      <c r="N47" s="56" t="str">
        <f t="shared" si="20"/>
        <v>x</v>
      </c>
      <c r="O47" s="56" t="str">
        <f t="shared" si="20"/>
        <v>x</v>
      </c>
      <c r="P47" s="56" t="str">
        <f t="shared" si="20"/>
        <v>x</v>
      </c>
      <c r="Q47" s="56" t="str">
        <f t="shared" si="20"/>
        <v>x</v>
      </c>
      <c r="R47" s="56" t="str">
        <f t="shared" si="20"/>
        <v>x</v>
      </c>
      <c r="S47" s="56" t="str">
        <f t="shared" si="20"/>
        <v>x</v>
      </c>
      <c r="T47" s="56" t="str">
        <f t="shared" ref="K47:T68" si="38">IFERROR(IF(SEARCH(T$5,$D47),$F47,"-"),"x")</f>
        <v>x</v>
      </c>
      <c r="U47" s="56" t="str">
        <f t="shared" si="21"/>
        <v>x</v>
      </c>
      <c r="V47" s="56" t="str">
        <f t="shared" si="21"/>
        <v>x</v>
      </c>
      <c r="W47" s="56" t="str">
        <f t="shared" si="21"/>
        <v>x</v>
      </c>
      <c r="X47" s="56" t="str">
        <f t="shared" si="21"/>
        <v>x</v>
      </c>
      <c r="Y47" s="56" t="str">
        <f t="shared" si="21"/>
        <v>x</v>
      </c>
      <c r="Z47" s="56" t="str">
        <f t="shared" si="21"/>
        <v>x</v>
      </c>
      <c r="AA47" s="56" t="str">
        <f t="shared" si="21"/>
        <v>x</v>
      </c>
      <c r="AB47" s="56" t="str">
        <f t="shared" si="21"/>
        <v>x</v>
      </c>
      <c r="AC47" s="56" t="str">
        <f t="shared" si="21"/>
        <v>x</v>
      </c>
      <c r="AD47" s="56" t="str">
        <f t="shared" si="21"/>
        <v>x</v>
      </c>
      <c r="AE47" s="56" t="str">
        <f t="shared" si="31"/>
        <v>x</v>
      </c>
      <c r="AF47" s="56" t="str">
        <f t="shared" si="31"/>
        <v>x</v>
      </c>
      <c r="AG47" s="56" t="str">
        <f t="shared" si="31"/>
        <v>x</v>
      </c>
      <c r="AH47" s="56" t="str">
        <f t="shared" si="31"/>
        <v>x</v>
      </c>
      <c r="AI47" s="56" t="str">
        <f t="shared" si="31"/>
        <v>x</v>
      </c>
      <c r="AJ47" s="56" t="str">
        <f t="shared" si="31"/>
        <v>x</v>
      </c>
      <c r="AK47" s="56" t="str">
        <f t="shared" si="31"/>
        <v>x</v>
      </c>
      <c r="AL47" s="56" t="str">
        <f t="shared" si="31"/>
        <v>x</v>
      </c>
      <c r="AM47" s="56" t="str">
        <f t="shared" si="31"/>
        <v>x</v>
      </c>
      <c r="AN47" s="56" t="str">
        <f t="shared" si="31"/>
        <v>x</v>
      </c>
      <c r="AO47" s="56" t="str">
        <f t="shared" si="31"/>
        <v>x</v>
      </c>
      <c r="AP47" s="56" t="str">
        <f t="shared" si="31"/>
        <v>x</v>
      </c>
      <c r="AQ47" s="56" t="str">
        <f t="shared" si="31"/>
        <v>x</v>
      </c>
      <c r="AR47" s="56" t="str">
        <f t="shared" si="31"/>
        <v>x</v>
      </c>
      <c r="AS47" s="56" t="str">
        <f t="shared" si="31"/>
        <v>x</v>
      </c>
      <c r="AT47" s="56" t="str">
        <f t="shared" si="31"/>
        <v>x</v>
      </c>
      <c r="AU47" s="56" t="str">
        <f t="shared" si="37"/>
        <v>x</v>
      </c>
      <c r="AV47" s="56" t="str">
        <f t="shared" si="37"/>
        <v>x</v>
      </c>
      <c r="AW47" s="56" t="str">
        <f t="shared" si="37"/>
        <v>x</v>
      </c>
      <c r="AX47" s="56" t="str">
        <f t="shared" si="37"/>
        <v>x</v>
      </c>
      <c r="AY47" s="56" t="str">
        <f t="shared" si="37"/>
        <v>x</v>
      </c>
      <c r="AZ47" s="56" t="str">
        <f t="shared" si="37"/>
        <v>--</v>
      </c>
      <c r="BA47" s="56" t="str">
        <f t="shared" si="37"/>
        <v>x</v>
      </c>
      <c r="BB47" s="56" t="str">
        <f t="shared" si="37"/>
        <v>x</v>
      </c>
      <c r="BC47" s="56" t="str">
        <f t="shared" si="37"/>
        <v>x</v>
      </c>
      <c r="BD47" s="56" t="str">
        <f t="shared" si="37"/>
        <v>x</v>
      </c>
      <c r="BE47" s="56" t="str">
        <f t="shared" si="37"/>
        <v>x</v>
      </c>
      <c r="BF47" s="56" t="str">
        <f t="shared" si="37"/>
        <v>x</v>
      </c>
      <c r="BG47" s="56" t="str">
        <f t="shared" si="37"/>
        <v>x</v>
      </c>
      <c r="BH47" s="56" t="str">
        <f t="shared" si="37"/>
        <v>x</v>
      </c>
      <c r="BI47" s="56" t="str">
        <f t="shared" si="37"/>
        <v>x</v>
      </c>
      <c r="BJ47" s="56" t="str">
        <f t="shared" si="37"/>
        <v>x</v>
      </c>
      <c r="BK47" s="56" t="str">
        <f t="shared" si="36"/>
        <v>x</v>
      </c>
      <c r="BL47" s="56" t="str">
        <f t="shared" si="36"/>
        <v>x</v>
      </c>
      <c r="BM47" s="56" t="str">
        <f t="shared" si="36"/>
        <v>x</v>
      </c>
      <c r="BN47" s="56" t="str">
        <f t="shared" si="36"/>
        <v>x</v>
      </c>
      <c r="BO47" s="56" t="str">
        <f t="shared" si="33"/>
        <v>x</v>
      </c>
      <c r="BP47" s="56" t="str">
        <f t="shared" si="33"/>
        <v>x</v>
      </c>
      <c r="BQ47" s="56" t="str">
        <f t="shared" si="33"/>
        <v>x</v>
      </c>
      <c r="BR47" s="56" t="str">
        <f t="shared" si="33"/>
        <v>x</v>
      </c>
      <c r="BS47" s="56" t="str">
        <f t="shared" si="32"/>
        <v>x</v>
      </c>
      <c r="BT47" s="56" t="str">
        <f t="shared" si="32"/>
        <v>x</v>
      </c>
      <c r="BU47" s="56" t="str">
        <f t="shared" si="32"/>
        <v>x</v>
      </c>
      <c r="BV47" s="56" t="str">
        <f t="shared" si="32"/>
        <v>x</v>
      </c>
      <c r="BW47" s="56" t="str">
        <f t="shared" si="32"/>
        <v>x</v>
      </c>
      <c r="BX47" s="56" t="str">
        <f t="shared" si="32"/>
        <v>x</v>
      </c>
      <c r="BY47" s="56" t="str">
        <f t="shared" si="32"/>
        <v>x</v>
      </c>
      <c r="BZ47" s="56" t="str">
        <f t="shared" si="35"/>
        <v>x</v>
      </c>
      <c r="CA47" s="56" t="str">
        <f t="shared" si="35"/>
        <v>x</v>
      </c>
      <c r="CB47" s="56" t="str">
        <f t="shared" si="35"/>
        <v>x</v>
      </c>
      <c r="CC47" s="56" t="str">
        <f t="shared" si="35"/>
        <v>x</v>
      </c>
      <c r="CD47" s="56" t="str">
        <f t="shared" si="35"/>
        <v>x</v>
      </c>
      <c r="CE47" s="56" t="str">
        <f t="shared" si="35"/>
        <v>x</v>
      </c>
      <c r="CF47" s="56" t="str">
        <f t="shared" si="35"/>
        <v>x</v>
      </c>
      <c r="CG47" s="56" t="str">
        <f t="shared" si="35"/>
        <v>x</v>
      </c>
      <c r="CH47" s="56" t="str">
        <f t="shared" si="35"/>
        <v>x</v>
      </c>
      <c r="CI47" s="56" t="str">
        <f t="shared" si="35"/>
        <v>x</v>
      </c>
      <c r="CJ47" s="56" t="str">
        <f t="shared" si="35"/>
        <v>x</v>
      </c>
      <c r="CK47" s="56" t="str">
        <f t="shared" si="35"/>
        <v>x</v>
      </c>
      <c r="CL47" s="56" t="str">
        <f t="shared" si="35"/>
        <v>x</v>
      </c>
      <c r="CM47" s="56" t="str">
        <f t="shared" si="35"/>
        <v>x</v>
      </c>
      <c r="CN47" s="56" t="str">
        <f t="shared" si="35"/>
        <v>x</v>
      </c>
      <c r="CO47" s="56" t="str">
        <f t="shared" si="35"/>
        <v>x</v>
      </c>
      <c r="CP47" s="56" t="str">
        <f t="shared" si="34"/>
        <v>x</v>
      </c>
      <c r="CQ47" s="56" t="str">
        <f t="shared" si="34"/>
        <v>x</v>
      </c>
      <c r="CR47" s="56" t="str">
        <f t="shared" si="34"/>
        <v>x</v>
      </c>
      <c r="CS47" s="56" t="str">
        <f t="shared" si="34"/>
        <v>x</v>
      </c>
      <c r="CT47" s="56" t="str">
        <f t="shared" si="34"/>
        <v>x</v>
      </c>
      <c r="CU47" s="56" t="str">
        <f t="shared" si="34"/>
        <v>x</v>
      </c>
      <c r="CV47" s="56" t="str">
        <f t="shared" si="34"/>
        <v>x</v>
      </c>
      <c r="CW47" s="56" t="str">
        <f t="shared" si="34"/>
        <v>x</v>
      </c>
      <c r="CX47" s="56" t="str">
        <f t="shared" si="34"/>
        <v>x</v>
      </c>
      <c r="CY47" s="56" t="str">
        <f t="shared" si="34"/>
        <v>x</v>
      </c>
      <c r="CZ47" s="56" t="str">
        <f t="shared" si="34"/>
        <v>x</v>
      </c>
      <c r="DA47" s="56" t="str">
        <f t="shared" si="34"/>
        <v>--</v>
      </c>
      <c r="DB47" s="56" t="str">
        <f t="shared" si="34"/>
        <v>x</v>
      </c>
      <c r="DC47" s="56" t="str">
        <f t="shared" si="34"/>
        <v>x</v>
      </c>
      <c r="DD47" s="56" t="str">
        <f t="shared" si="34"/>
        <v>x</v>
      </c>
      <c r="DE47" s="56" t="str">
        <f t="shared" si="30"/>
        <v>x</v>
      </c>
      <c r="DF47" s="56" t="str">
        <f t="shared" si="30"/>
        <v>x</v>
      </c>
      <c r="DG47" s="56" t="str">
        <f t="shared" si="30"/>
        <v>x</v>
      </c>
      <c r="DH47" s="56" t="str">
        <f t="shared" si="30"/>
        <v>x</v>
      </c>
      <c r="DI47" s="56" t="str">
        <f t="shared" si="30"/>
        <v>x</v>
      </c>
      <c r="DJ47" s="56" t="str">
        <f t="shared" si="30"/>
        <v>x</v>
      </c>
      <c r="DK47" s="56" t="str">
        <f t="shared" si="30"/>
        <v>x</v>
      </c>
      <c r="DL47" s="56" t="str">
        <f t="shared" si="29"/>
        <v>x</v>
      </c>
      <c r="DM47" s="56" t="str">
        <f t="shared" si="16"/>
        <v>x</v>
      </c>
      <c r="DN47" s="56" t="str">
        <f t="shared" si="16"/>
        <v>x</v>
      </c>
      <c r="DO47" s="56" t="str">
        <f t="shared" si="16"/>
        <v>x</v>
      </c>
    </row>
    <row r="48" spans="1:119" s="18" customFormat="1" ht="49.5" customHeight="1" thickBot="1">
      <c r="A48" s="52"/>
      <c r="B48" s="30" t="s">
        <v>123</v>
      </c>
      <c r="C48" s="29" t="s">
        <v>314</v>
      </c>
      <c r="D48" s="130" t="s">
        <v>253</v>
      </c>
      <c r="E48" s="23" t="s">
        <v>190</v>
      </c>
      <c r="F48" s="36" t="s">
        <v>3</v>
      </c>
      <c r="G48" s="37" t="s">
        <v>8</v>
      </c>
      <c r="H48" s="37"/>
      <c r="I48" s="37"/>
      <c r="J48" s="119"/>
      <c r="K48" s="56" t="str">
        <f t="shared" si="38"/>
        <v>x</v>
      </c>
      <c r="L48" s="56" t="str">
        <f t="shared" si="38"/>
        <v>x</v>
      </c>
      <c r="M48" s="56" t="str">
        <f t="shared" si="38"/>
        <v>x</v>
      </c>
      <c r="N48" s="56" t="str">
        <f t="shared" si="38"/>
        <v>x</v>
      </c>
      <c r="O48" s="56" t="str">
        <f t="shared" si="38"/>
        <v>x</v>
      </c>
      <c r="P48" s="56" t="str">
        <f t="shared" si="38"/>
        <v>x</v>
      </c>
      <c r="Q48" s="56" t="str">
        <f t="shared" si="38"/>
        <v>x</v>
      </c>
      <c r="R48" s="56" t="str">
        <f t="shared" si="38"/>
        <v>x</v>
      </c>
      <c r="S48" s="56" t="str">
        <f t="shared" si="38"/>
        <v>x</v>
      </c>
      <c r="T48" s="56" t="str">
        <f t="shared" si="38"/>
        <v>x</v>
      </c>
      <c r="U48" s="56" t="str">
        <f t="shared" si="21"/>
        <v>x</v>
      </c>
      <c r="V48" s="56" t="str">
        <f t="shared" si="21"/>
        <v>x</v>
      </c>
      <c r="W48" s="56" t="str">
        <f t="shared" si="21"/>
        <v>x</v>
      </c>
      <c r="X48" s="56" t="str">
        <f t="shared" si="21"/>
        <v>x</v>
      </c>
      <c r="Y48" s="56" t="str">
        <f t="shared" si="21"/>
        <v>x</v>
      </c>
      <c r="Z48" s="56" t="str">
        <f t="shared" si="21"/>
        <v>x</v>
      </c>
      <c r="AA48" s="56" t="str">
        <f t="shared" si="21"/>
        <v>x</v>
      </c>
      <c r="AB48" s="56" t="str">
        <f t="shared" si="21"/>
        <v>x</v>
      </c>
      <c r="AC48" s="56" t="str">
        <f t="shared" si="21"/>
        <v>x</v>
      </c>
      <c r="AD48" s="56" t="str">
        <f t="shared" si="21"/>
        <v>x</v>
      </c>
      <c r="AE48" s="56" t="str">
        <f t="shared" si="31"/>
        <v>x</v>
      </c>
      <c r="AF48" s="56" t="str">
        <f t="shared" si="31"/>
        <v>x</v>
      </c>
      <c r="AG48" s="56" t="str">
        <f t="shared" si="31"/>
        <v>x</v>
      </c>
      <c r="AH48" s="56" t="str">
        <f t="shared" si="31"/>
        <v>x</v>
      </c>
      <c r="AI48" s="56" t="str">
        <f t="shared" si="31"/>
        <v>x</v>
      </c>
      <c r="AJ48" s="56" t="str">
        <f t="shared" si="31"/>
        <v>x</v>
      </c>
      <c r="AK48" s="56" t="str">
        <f t="shared" si="31"/>
        <v>x</v>
      </c>
      <c r="AL48" s="56" t="str">
        <f t="shared" si="31"/>
        <v>x</v>
      </c>
      <c r="AM48" s="56" t="str">
        <f t="shared" si="31"/>
        <v>x</v>
      </c>
      <c r="AN48" s="56" t="str">
        <f t="shared" si="31"/>
        <v>x</v>
      </c>
      <c r="AO48" s="56" t="str">
        <f t="shared" si="31"/>
        <v>x</v>
      </c>
      <c r="AP48" s="56" t="str">
        <f t="shared" si="31"/>
        <v>x</v>
      </c>
      <c r="AQ48" s="56" t="str">
        <f t="shared" si="31"/>
        <v>x</v>
      </c>
      <c r="AR48" s="56" t="str">
        <f t="shared" si="31"/>
        <v>x</v>
      </c>
      <c r="AS48" s="56" t="str">
        <f t="shared" si="31"/>
        <v>x</v>
      </c>
      <c r="AT48" s="56" t="str">
        <f t="shared" si="31"/>
        <v>x</v>
      </c>
      <c r="AU48" s="56" t="str">
        <f t="shared" si="37"/>
        <v>x</v>
      </c>
      <c r="AV48" s="56" t="str">
        <f t="shared" si="37"/>
        <v>x</v>
      </c>
      <c r="AW48" s="56" t="str">
        <f t="shared" si="37"/>
        <v>x</v>
      </c>
      <c r="AX48" s="56" t="str">
        <f t="shared" si="37"/>
        <v>x</v>
      </c>
      <c r="AY48" s="56" t="str">
        <f t="shared" si="37"/>
        <v>x</v>
      </c>
      <c r="AZ48" s="56" t="str">
        <f t="shared" si="37"/>
        <v>x</v>
      </c>
      <c r="BA48" s="56" t="str">
        <f t="shared" si="37"/>
        <v>--</v>
      </c>
      <c r="BB48" s="56" t="str">
        <f t="shared" si="37"/>
        <v>x</v>
      </c>
      <c r="BC48" s="56" t="str">
        <f t="shared" si="37"/>
        <v>x</v>
      </c>
      <c r="BD48" s="56" t="str">
        <f t="shared" si="37"/>
        <v>x</v>
      </c>
      <c r="BE48" s="56" t="str">
        <f t="shared" si="37"/>
        <v>x</v>
      </c>
      <c r="BF48" s="56" t="str">
        <f t="shared" si="37"/>
        <v>x</v>
      </c>
      <c r="BG48" s="56" t="str">
        <f t="shared" si="37"/>
        <v>x</v>
      </c>
      <c r="BH48" s="56" t="str">
        <f t="shared" si="37"/>
        <v>x</v>
      </c>
      <c r="BI48" s="56" t="str">
        <f t="shared" si="37"/>
        <v>x</v>
      </c>
      <c r="BJ48" s="56" t="str">
        <f t="shared" si="37"/>
        <v>x</v>
      </c>
      <c r="BK48" s="56" t="str">
        <f t="shared" si="36"/>
        <v>x</v>
      </c>
      <c r="BL48" s="56" t="str">
        <f t="shared" si="36"/>
        <v>x</v>
      </c>
      <c r="BM48" s="56" t="str">
        <f t="shared" si="36"/>
        <v>x</v>
      </c>
      <c r="BN48" s="56" t="str">
        <f t="shared" si="36"/>
        <v>x</v>
      </c>
      <c r="BO48" s="56" t="str">
        <f t="shared" si="33"/>
        <v>x</v>
      </c>
      <c r="BP48" s="56" t="str">
        <f t="shared" si="33"/>
        <v>x</v>
      </c>
      <c r="BQ48" s="56" t="str">
        <f t="shared" si="33"/>
        <v>x</v>
      </c>
      <c r="BR48" s="56" t="str">
        <f t="shared" si="33"/>
        <v>x</v>
      </c>
      <c r="BS48" s="56" t="str">
        <f t="shared" si="32"/>
        <v>x</v>
      </c>
      <c r="BT48" s="56" t="str">
        <f t="shared" si="32"/>
        <v>x</v>
      </c>
      <c r="BU48" s="56" t="str">
        <f t="shared" si="32"/>
        <v>x</v>
      </c>
      <c r="BV48" s="56" t="str">
        <f t="shared" si="32"/>
        <v>x</v>
      </c>
      <c r="BW48" s="56" t="str">
        <f t="shared" si="32"/>
        <v>x</v>
      </c>
      <c r="BX48" s="56" t="str">
        <f t="shared" si="32"/>
        <v>x</v>
      </c>
      <c r="BY48" s="56" t="str">
        <f t="shared" si="32"/>
        <v>x</v>
      </c>
      <c r="BZ48" s="56" t="str">
        <f t="shared" si="35"/>
        <v>x</v>
      </c>
      <c r="CA48" s="56" t="str">
        <f t="shared" si="35"/>
        <v>x</v>
      </c>
      <c r="CB48" s="56" t="str">
        <f t="shared" si="35"/>
        <v>x</v>
      </c>
      <c r="CC48" s="56" t="str">
        <f t="shared" si="35"/>
        <v>x</v>
      </c>
      <c r="CD48" s="56" t="str">
        <f t="shared" si="35"/>
        <v>x</v>
      </c>
      <c r="CE48" s="56" t="str">
        <f t="shared" si="35"/>
        <v>x</v>
      </c>
      <c r="CF48" s="56" t="str">
        <f t="shared" si="35"/>
        <v>x</v>
      </c>
      <c r="CG48" s="56" t="str">
        <f t="shared" si="35"/>
        <v>x</v>
      </c>
      <c r="CH48" s="56" t="str">
        <f t="shared" si="35"/>
        <v>x</v>
      </c>
      <c r="CI48" s="56" t="str">
        <f t="shared" si="35"/>
        <v>x</v>
      </c>
      <c r="CJ48" s="56" t="str">
        <f t="shared" si="35"/>
        <v>x</v>
      </c>
      <c r="CK48" s="56" t="str">
        <f t="shared" si="35"/>
        <v>x</v>
      </c>
      <c r="CL48" s="56" t="str">
        <f t="shared" si="35"/>
        <v>x</v>
      </c>
      <c r="CM48" s="56" t="str">
        <f t="shared" si="35"/>
        <v>x</v>
      </c>
      <c r="CN48" s="56" t="str">
        <f t="shared" si="35"/>
        <v>x</v>
      </c>
      <c r="CO48" s="56" t="str">
        <f t="shared" si="35"/>
        <v>x</v>
      </c>
      <c r="CP48" s="56" t="str">
        <f t="shared" si="34"/>
        <v>x</v>
      </c>
      <c r="CQ48" s="56" t="str">
        <f t="shared" si="34"/>
        <v>x</v>
      </c>
      <c r="CR48" s="56" t="str">
        <f t="shared" si="34"/>
        <v>x</v>
      </c>
      <c r="CS48" s="56" t="str">
        <f t="shared" si="34"/>
        <v>x</v>
      </c>
      <c r="CT48" s="56" t="str">
        <f t="shared" si="34"/>
        <v>x</v>
      </c>
      <c r="CU48" s="56" t="str">
        <f t="shared" si="34"/>
        <v>x</v>
      </c>
      <c r="CV48" s="56" t="str">
        <f t="shared" si="34"/>
        <v>x</v>
      </c>
      <c r="CW48" s="56" t="str">
        <f t="shared" si="34"/>
        <v>x</v>
      </c>
      <c r="CX48" s="56" t="str">
        <f t="shared" si="34"/>
        <v>x</v>
      </c>
      <c r="CY48" s="56" t="str">
        <f t="shared" si="34"/>
        <v>x</v>
      </c>
      <c r="CZ48" s="56" t="str">
        <f t="shared" si="34"/>
        <v>x</v>
      </c>
      <c r="DA48" s="56" t="str">
        <f t="shared" si="34"/>
        <v>x</v>
      </c>
      <c r="DB48" s="56" t="str">
        <f t="shared" si="34"/>
        <v>--</v>
      </c>
      <c r="DC48" s="56" t="str">
        <f t="shared" si="34"/>
        <v>x</v>
      </c>
      <c r="DD48" s="56" t="str">
        <f t="shared" si="34"/>
        <v>x</v>
      </c>
      <c r="DE48" s="56" t="str">
        <f t="shared" si="30"/>
        <v>x</v>
      </c>
      <c r="DF48" s="56" t="str">
        <f t="shared" si="30"/>
        <v>x</v>
      </c>
      <c r="DG48" s="56" t="str">
        <f t="shared" si="30"/>
        <v>x</v>
      </c>
      <c r="DH48" s="56" t="str">
        <f t="shared" si="30"/>
        <v>x</v>
      </c>
      <c r="DI48" s="56" t="str">
        <f t="shared" si="30"/>
        <v>x</v>
      </c>
      <c r="DJ48" s="56" t="str">
        <f t="shared" si="30"/>
        <v>x</v>
      </c>
      <c r="DK48" s="56" t="str">
        <f t="shared" si="30"/>
        <v>x</v>
      </c>
      <c r="DL48" s="56" t="str">
        <f t="shared" si="29"/>
        <v>x</v>
      </c>
      <c r="DM48" s="56" t="str">
        <f t="shared" si="16"/>
        <v>x</v>
      </c>
      <c r="DN48" s="56" t="str">
        <f t="shared" si="16"/>
        <v>x</v>
      </c>
      <c r="DO48" s="56" t="str">
        <f t="shared" si="16"/>
        <v>x</v>
      </c>
    </row>
    <row r="49" spans="1:120" s="18" customFormat="1" ht="35.25" customHeight="1">
      <c r="A49" s="52" t="s">
        <v>315</v>
      </c>
      <c r="B49" s="30" t="s">
        <v>122</v>
      </c>
      <c r="C49" s="29" t="s">
        <v>367</v>
      </c>
      <c r="D49" s="130" t="s">
        <v>254</v>
      </c>
      <c r="E49" s="23" t="s">
        <v>183</v>
      </c>
      <c r="F49" s="36" t="s">
        <v>3</v>
      </c>
      <c r="G49" s="37" t="s">
        <v>8</v>
      </c>
      <c r="H49" s="37"/>
      <c r="I49" s="37"/>
      <c r="J49" s="119"/>
      <c r="K49" s="56" t="str">
        <f t="shared" si="38"/>
        <v>x</v>
      </c>
      <c r="L49" s="56" t="str">
        <f t="shared" si="38"/>
        <v>x</v>
      </c>
      <c r="M49" s="56" t="str">
        <f t="shared" si="38"/>
        <v>x</v>
      </c>
      <c r="N49" s="56" t="str">
        <f t="shared" si="38"/>
        <v>x</v>
      </c>
      <c r="O49" s="56" t="str">
        <f t="shared" si="38"/>
        <v>x</v>
      </c>
      <c r="P49" s="56" t="str">
        <f t="shared" si="38"/>
        <v>x</v>
      </c>
      <c r="Q49" s="56" t="str">
        <f t="shared" si="38"/>
        <v>x</v>
      </c>
      <c r="R49" s="56" t="str">
        <f t="shared" si="38"/>
        <v>x</v>
      </c>
      <c r="S49" s="56" t="str">
        <f t="shared" si="38"/>
        <v>x</v>
      </c>
      <c r="T49" s="56" t="str">
        <f t="shared" si="38"/>
        <v>x</v>
      </c>
      <c r="U49" s="56" t="str">
        <f t="shared" si="21"/>
        <v>x</v>
      </c>
      <c r="V49" s="56" t="str">
        <f t="shared" ref="U49:AJ68" si="39">IFERROR(IF(SEARCH(V$5,$D49),$F49,"-"),"x")</f>
        <v>x</v>
      </c>
      <c r="W49" s="56" t="str">
        <f t="shared" si="39"/>
        <v>x</v>
      </c>
      <c r="X49" s="56" t="str">
        <f t="shared" si="39"/>
        <v>x</v>
      </c>
      <c r="Y49" s="56" t="str">
        <f t="shared" si="39"/>
        <v>x</v>
      </c>
      <c r="Z49" s="56" t="str">
        <f t="shared" si="39"/>
        <v>x</v>
      </c>
      <c r="AA49" s="56" t="str">
        <f t="shared" si="39"/>
        <v>x</v>
      </c>
      <c r="AB49" s="56" t="str">
        <f t="shared" si="39"/>
        <v>x</v>
      </c>
      <c r="AC49" s="56" t="str">
        <f t="shared" si="39"/>
        <v>x</v>
      </c>
      <c r="AD49" s="56" t="str">
        <f t="shared" si="39"/>
        <v>x</v>
      </c>
      <c r="AE49" s="56" t="str">
        <f t="shared" si="31"/>
        <v>x</v>
      </c>
      <c r="AF49" s="56" t="str">
        <f t="shared" si="31"/>
        <v>x</v>
      </c>
      <c r="AG49" s="56" t="str">
        <f t="shared" si="31"/>
        <v>x</v>
      </c>
      <c r="AH49" s="56" t="str">
        <f t="shared" si="31"/>
        <v>x</v>
      </c>
      <c r="AI49" s="56" t="str">
        <f t="shared" si="31"/>
        <v>x</v>
      </c>
      <c r="AJ49" s="56" t="str">
        <f t="shared" si="31"/>
        <v>x</v>
      </c>
      <c r="AK49" s="56" t="str">
        <f t="shared" si="31"/>
        <v>x</v>
      </c>
      <c r="AL49" s="56" t="str">
        <f t="shared" si="31"/>
        <v>x</v>
      </c>
      <c r="AM49" s="56" t="str">
        <f t="shared" si="31"/>
        <v>x</v>
      </c>
      <c r="AN49" s="56" t="str">
        <f t="shared" si="31"/>
        <v>x</v>
      </c>
      <c r="AO49" s="56" t="str">
        <f t="shared" si="31"/>
        <v>x</v>
      </c>
      <c r="AP49" s="56" t="str">
        <f t="shared" si="31"/>
        <v>x</v>
      </c>
      <c r="AQ49" s="56" t="str">
        <f t="shared" si="31"/>
        <v>x</v>
      </c>
      <c r="AR49" s="56" t="str">
        <f t="shared" si="31"/>
        <v>x</v>
      </c>
      <c r="AS49" s="56" t="str">
        <f t="shared" si="31"/>
        <v>x</v>
      </c>
      <c r="AT49" s="56" t="str">
        <f t="shared" ref="AT49:BI62" si="40">IFERROR(IF(SEARCH(AT$5,$D49),$F49,"-"),"x")</f>
        <v>x</v>
      </c>
      <c r="AU49" s="56" t="str">
        <f t="shared" si="40"/>
        <v>x</v>
      </c>
      <c r="AV49" s="56" t="str">
        <f t="shared" si="40"/>
        <v>x</v>
      </c>
      <c r="AW49" s="56" t="str">
        <f t="shared" si="40"/>
        <v>x</v>
      </c>
      <c r="AX49" s="56" t="str">
        <f t="shared" si="40"/>
        <v>x</v>
      </c>
      <c r="AY49" s="56" t="str">
        <f t="shared" si="40"/>
        <v>x</v>
      </c>
      <c r="AZ49" s="56" t="str">
        <f t="shared" si="40"/>
        <v>x</v>
      </c>
      <c r="BA49" s="56" t="str">
        <f t="shared" si="40"/>
        <v>x</v>
      </c>
      <c r="BB49" s="56" t="str">
        <f t="shared" si="40"/>
        <v>--</v>
      </c>
      <c r="BC49" s="56" t="str">
        <f t="shared" si="40"/>
        <v>x</v>
      </c>
      <c r="BD49" s="56" t="str">
        <f t="shared" si="40"/>
        <v>x</v>
      </c>
      <c r="BE49" s="56" t="str">
        <f t="shared" si="40"/>
        <v>x</v>
      </c>
      <c r="BF49" s="56" t="str">
        <f t="shared" si="40"/>
        <v>x</v>
      </c>
      <c r="BG49" s="56" t="str">
        <f t="shared" si="40"/>
        <v>x</v>
      </c>
      <c r="BH49" s="56" t="str">
        <f t="shared" si="40"/>
        <v>x</v>
      </c>
      <c r="BI49" s="56" t="str">
        <f t="shared" si="40"/>
        <v>x</v>
      </c>
      <c r="BJ49" s="56" t="str">
        <f t="shared" si="37"/>
        <v>x</v>
      </c>
      <c r="BK49" s="56" t="str">
        <f t="shared" si="36"/>
        <v>x</v>
      </c>
      <c r="BL49" s="56" t="str">
        <f t="shared" si="36"/>
        <v>x</v>
      </c>
      <c r="BM49" s="56" t="str">
        <f t="shared" si="36"/>
        <v>x</v>
      </c>
      <c r="BN49" s="56" t="str">
        <f t="shared" si="36"/>
        <v>x</v>
      </c>
      <c r="BO49" s="56" t="str">
        <f t="shared" si="33"/>
        <v>x</v>
      </c>
      <c r="BP49" s="56" t="str">
        <f t="shared" si="33"/>
        <v>x</v>
      </c>
      <c r="BQ49" s="56" t="str">
        <f t="shared" si="33"/>
        <v>x</v>
      </c>
      <c r="BR49" s="56" t="str">
        <f t="shared" si="33"/>
        <v>x</v>
      </c>
      <c r="BS49" s="56" t="str">
        <f t="shared" si="32"/>
        <v>x</v>
      </c>
      <c r="BT49" s="56" t="str">
        <f t="shared" si="32"/>
        <v>x</v>
      </c>
      <c r="BU49" s="56" t="str">
        <f t="shared" si="32"/>
        <v>x</v>
      </c>
      <c r="BV49" s="56" t="str">
        <f t="shared" si="32"/>
        <v>x</v>
      </c>
      <c r="BW49" s="56" t="str">
        <f t="shared" si="32"/>
        <v>x</v>
      </c>
      <c r="BX49" s="56" t="str">
        <f t="shared" si="32"/>
        <v>x</v>
      </c>
      <c r="BY49" s="56" t="str">
        <f t="shared" si="32"/>
        <v>x</v>
      </c>
      <c r="BZ49" s="56" t="str">
        <f t="shared" si="35"/>
        <v>x</v>
      </c>
      <c r="CA49" s="56" t="str">
        <f t="shared" si="35"/>
        <v>x</v>
      </c>
      <c r="CB49" s="56" t="str">
        <f t="shared" si="35"/>
        <v>x</v>
      </c>
      <c r="CC49" s="56" t="str">
        <f t="shared" si="35"/>
        <v>x</v>
      </c>
      <c r="CD49" s="56" t="str">
        <f t="shared" si="35"/>
        <v>x</v>
      </c>
      <c r="CE49" s="56" t="str">
        <f t="shared" si="35"/>
        <v>x</v>
      </c>
      <c r="CF49" s="56" t="str">
        <f t="shared" si="35"/>
        <v>x</v>
      </c>
      <c r="CG49" s="56" t="str">
        <f t="shared" si="35"/>
        <v>x</v>
      </c>
      <c r="CH49" s="56" t="str">
        <f t="shared" si="35"/>
        <v>x</v>
      </c>
      <c r="CI49" s="56" t="str">
        <f t="shared" si="35"/>
        <v>x</v>
      </c>
      <c r="CJ49" s="56" t="str">
        <f t="shared" si="35"/>
        <v>x</v>
      </c>
      <c r="CK49" s="56" t="str">
        <f t="shared" si="35"/>
        <v>x</v>
      </c>
      <c r="CL49" s="56" t="str">
        <f t="shared" si="35"/>
        <v>x</v>
      </c>
      <c r="CM49" s="56" t="str">
        <f t="shared" si="35"/>
        <v>x</v>
      </c>
      <c r="CN49" s="56" t="str">
        <f t="shared" si="35"/>
        <v>x</v>
      </c>
      <c r="CO49" s="56" t="str">
        <f t="shared" si="35"/>
        <v>x</v>
      </c>
      <c r="CP49" s="56" t="str">
        <f t="shared" si="34"/>
        <v>x</v>
      </c>
      <c r="CQ49" s="56" t="str">
        <f t="shared" si="34"/>
        <v>x</v>
      </c>
      <c r="CR49" s="56" t="str">
        <f t="shared" si="34"/>
        <v>x</v>
      </c>
      <c r="CS49" s="56" t="str">
        <f t="shared" si="34"/>
        <v>x</v>
      </c>
      <c r="CT49" s="56" t="str">
        <f t="shared" si="34"/>
        <v>x</v>
      </c>
      <c r="CU49" s="56" t="str">
        <f t="shared" si="34"/>
        <v>--</v>
      </c>
      <c r="CV49" s="56" t="str">
        <f t="shared" si="34"/>
        <v>x</v>
      </c>
      <c r="CW49" s="56" t="str">
        <f t="shared" si="34"/>
        <v>x</v>
      </c>
      <c r="CX49" s="56" t="str">
        <f t="shared" si="34"/>
        <v>x</v>
      </c>
      <c r="CY49" s="56" t="str">
        <f t="shared" si="34"/>
        <v>x</v>
      </c>
      <c r="CZ49" s="56" t="str">
        <f t="shared" si="34"/>
        <v>x</v>
      </c>
      <c r="DA49" s="56" t="str">
        <f t="shared" si="34"/>
        <v>x</v>
      </c>
      <c r="DB49" s="56" t="str">
        <f t="shared" si="34"/>
        <v>x</v>
      </c>
      <c r="DC49" s="56" t="str">
        <f t="shared" si="34"/>
        <v>x</v>
      </c>
      <c r="DD49" s="56" t="str">
        <f t="shared" si="34"/>
        <v>x</v>
      </c>
      <c r="DE49" s="56" t="str">
        <f t="shared" si="30"/>
        <v>x</v>
      </c>
      <c r="DF49" s="56" t="str">
        <f t="shared" si="30"/>
        <v>x</v>
      </c>
      <c r="DG49" s="56" t="str">
        <f t="shared" si="30"/>
        <v>x</v>
      </c>
      <c r="DH49" s="56" t="str">
        <f t="shared" si="30"/>
        <v>x</v>
      </c>
      <c r="DI49" s="56" t="str">
        <f t="shared" si="30"/>
        <v>x</v>
      </c>
      <c r="DJ49" s="56" t="str">
        <f t="shared" si="30"/>
        <v>x</v>
      </c>
      <c r="DK49" s="56" t="str">
        <f t="shared" si="30"/>
        <v>x</v>
      </c>
      <c r="DL49" s="56" t="str">
        <f t="shared" si="29"/>
        <v>x</v>
      </c>
      <c r="DM49" s="56" t="str">
        <f t="shared" si="16"/>
        <v>x</v>
      </c>
      <c r="DN49" s="56" t="str">
        <f t="shared" si="16"/>
        <v>x</v>
      </c>
      <c r="DO49" s="56" t="str">
        <f t="shared" si="16"/>
        <v>x</v>
      </c>
    </row>
    <row r="50" spans="1:120" s="15" customFormat="1" ht="31.5" customHeight="1" thickBot="1">
      <c r="A50" s="52"/>
      <c r="B50" s="30" t="s">
        <v>123</v>
      </c>
      <c r="C50" s="29" t="s">
        <v>211</v>
      </c>
      <c r="D50" s="130" t="s">
        <v>255</v>
      </c>
      <c r="E50" s="23" t="s">
        <v>183</v>
      </c>
      <c r="F50" s="36" t="s">
        <v>3</v>
      </c>
      <c r="G50" s="37" t="s">
        <v>8</v>
      </c>
      <c r="H50" s="37"/>
      <c r="I50" s="37"/>
      <c r="J50" s="119"/>
      <c r="K50" s="56" t="str">
        <f t="shared" si="38"/>
        <v>x</v>
      </c>
      <c r="L50" s="56" t="str">
        <f t="shared" si="38"/>
        <v>x</v>
      </c>
      <c r="M50" s="56" t="str">
        <f t="shared" si="38"/>
        <v>x</v>
      </c>
      <c r="N50" s="56" t="str">
        <f t="shared" si="38"/>
        <v>x</v>
      </c>
      <c r="O50" s="56" t="str">
        <f t="shared" si="38"/>
        <v>x</v>
      </c>
      <c r="P50" s="56" t="str">
        <f t="shared" si="38"/>
        <v>x</v>
      </c>
      <c r="Q50" s="56" t="str">
        <f t="shared" si="38"/>
        <v>x</v>
      </c>
      <c r="R50" s="56" t="str">
        <f t="shared" si="38"/>
        <v>x</v>
      </c>
      <c r="S50" s="56" t="str">
        <f t="shared" si="38"/>
        <v>x</v>
      </c>
      <c r="T50" s="56" t="str">
        <f t="shared" si="38"/>
        <v>x</v>
      </c>
      <c r="U50" s="56" t="str">
        <f t="shared" si="39"/>
        <v>x</v>
      </c>
      <c r="V50" s="56" t="str">
        <f t="shared" si="39"/>
        <v>x</v>
      </c>
      <c r="W50" s="56" t="str">
        <f t="shared" si="39"/>
        <v>x</v>
      </c>
      <c r="X50" s="56" t="str">
        <f t="shared" si="39"/>
        <v>x</v>
      </c>
      <c r="Y50" s="56" t="str">
        <f t="shared" si="39"/>
        <v>x</v>
      </c>
      <c r="Z50" s="56" t="str">
        <f t="shared" si="39"/>
        <v>x</v>
      </c>
      <c r="AA50" s="56" t="str">
        <f t="shared" si="39"/>
        <v>x</v>
      </c>
      <c r="AB50" s="56" t="str">
        <f t="shared" si="39"/>
        <v>x</v>
      </c>
      <c r="AC50" s="56" t="str">
        <f t="shared" si="39"/>
        <v>x</v>
      </c>
      <c r="AD50" s="56" t="str">
        <f t="shared" si="39"/>
        <v>x</v>
      </c>
      <c r="AE50" s="56" t="str">
        <f t="shared" si="39"/>
        <v>x</v>
      </c>
      <c r="AF50" s="56" t="str">
        <f t="shared" si="39"/>
        <v>x</v>
      </c>
      <c r="AG50" s="56" t="str">
        <f t="shared" si="39"/>
        <v>x</v>
      </c>
      <c r="AH50" s="56" t="str">
        <f t="shared" si="39"/>
        <v>x</v>
      </c>
      <c r="AI50" s="56" t="str">
        <f t="shared" si="39"/>
        <v>x</v>
      </c>
      <c r="AJ50" s="56" t="str">
        <f t="shared" si="39"/>
        <v>x</v>
      </c>
      <c r="AK50" s="56" t="str">
        <f t="shared" ref="AE50:AT65" si="41">IFERROR(IF(SEARCH(AK$5,$D50),$F50,"-"),"x")</f>
        <v>x</v>
      </c>
      <c r="AL50" s="56" t="str">
        <f t="shared" si="41"/>
        <v>x</v>
      </c>
      <c r="AM50" s="56" t="str">
        <f t="shared" si="41"/>
        <v>x</v>
      </c>
      <c r="AN50" s="56" t="str">
        <f t="shared" si="41"/>
        <v>x</v>
      </c>
      <c r="AO50" s="56" t="str">
        <f t="shared" si="41"/>
        <v>x</v>
      </c>
      <c r="AP50" s="56" t="str">
        <f t="shared" si="41"/>
        <v>x</v>
      </c>
      <c r="AQ50" s="56" t="str">
        <f t="shared" si="41"/>
        <v>x</v>
      </c>
      <c r="AR50" s="56" t="str">
        <f t="shared" si="41"/>
        <v>x</v>
      </c>
      <c r="AS50" s="56" t="str">
        <f t="shared" si="41"/>
        <v>x</v>
      </c>
      <c r="AT50" s="56" t="str">
        <f t="shared" si="40"/>
        <v>x</v>
      </c>
      <c r="AU50" s="56" t="str">
        <f t="shared" si="40"/>
        <v>x</v>
      </c>
      <c r="AV50" s="56" t="str">
        <f t="shared" si="40"/>
        <v>x</v>
      </c>
      <c r="AW50" s="56" t="str">
        <f t="shared" si="40"/>
        <v>x</v>
      </c>
      <c r="AX50" s="56" t="str">
        <f t="shared" si="40"/>
        <v>x</v>
      </c>
      <c r="AY50" s="56" t="str">
        <f t="shared" si="40"/>
        <v>x</v>
      </c>
      <c r="AZ50" s="56" t="str">
        <f t="shared" si="40"/>
        <v>x</v>
      </c>
      <c r="BA50" s="56" t="str">
        <f t="shared" si="40"/>
        <v>x</v>
      </c>
      <c r="BB50" s="56" t="str">
        <f t="shared" si="40"/>
        <v>x</v>
      </c>
      <c r="BC50" s="56" t="str">
        <f t="shared" si="40"/>
        <v>--</v>
      </c>
      <c r="BD50" s="56" t="str">
        <f t="shared" si="40"/>
        <v>x</v>
      </c>
      <c r="BE50" s="56" t="str">
        <f t="shared" si="40"/>
        <v>x</v>
      </c>
      <c r="BF50" s="56" t="str">
        <f t="shared" si="40"/>
        <v>x</v>
      </c>
      <c r="BG50" s="56" t="str">
        <f t="shared" si="40"/>
        <v>x</v>
      </c>
      <c r="BH50" s="56" t="str">
        <f t="shared" si="40"/>
        <v>x</v>
      </c>
      <c r="BI50" s="56" t="str">
        <f t="shared" si="40"/>
        <v>x</v>
      </c>
      <c r="BJ50" s="56" t="str">
        <f t="shared" si="37"/>
        <v>x</v>
      </c>
      <c r="BK50" s="56" t="str">
        <f t="shared" si="36"/>
        <v>x</v>
      </c>
      <c r="BL50" s="56" t="str">
        <f t="shared" si="36"/>
        <v>x</v>
      </c>
      <c r="BM50" s="56" t="str">
        <f t="shared" si="36"/>
        <v>x</v>
      </c>
      <c r="BN50" s="56" t="str">
        <f t="shared" si="36"/>
        <v>x</v>
      </c>
      <c r="BO50" s="56" t="str">
        <f t="shared" si="33"/>
        <v>x</v>
      </c>
      <c r="BP50" s="56" t="str">
        <f t="shared" si="33"/>
        <v>x</v>
      </c>
      <c r="BQ50" s="56" t="str">
        <f t="shared" si="33"/>
        <v>x</v>
      </c>
      <c r="BR50" s="56" t="str">
        <f t="shared" si="33"/>
        <v>x</v>
      </c>
      <c r="BS50" s="56" t="str">
        <f t="shared" si="32"/>
        <v>x</v>
      </c>
      <c r="BT50" s="56" t="str">
        <f t="shared" si="32"/>
        <v>x</v>
      </c>
      <c r="BU50" s="56" t="str">
        <f t="shared" si="32"/>
        <v>x</v>
      </c>
      <c r="BV50" s="56" t="str">
        <f t="shared" si="32"/>
        <v>x</v>
      </c>
      <c r="BW50" s="56" t="str">
        <f t="shared" si="32"/>
        <v>x</v>
      </c>
      <c r="BX50" s="56" t="str">
        <f t="shared" si="32"/>
        <v>x</v>
      </c>
      <c r="BY50" s="56" t="str">
        <f t="shared" si="32"/>
        <v>x</v>
      </c>
      <c r="BZ50" s="56" t="str">
        <f t="shared" si="35"/>
        <v>x</v>
      </c>
      <c r="CA50" s="56" t="str">
        <f t="shared" si="35"/>
        <v>x</v>
      </c>
      <c r="CB50" s="56" t="str">
        <f t="shared" si="35"/>
        <v>x</v>
      </c>
      <c r="CC50" s="56" t="str">
        <f t="shared" si="35"/>
        <v>x</v>
      </c>
      <c r="CD50" s="56" t="str">
        <f t="shared" si="35"/>
        <v>x</v>
      </c>
      <c r="CE50" s="56" t="str">
        <f t="shared" si="35"/>
        <v>x</v>
      </c>
      <c r="CF50" s="56" t="str">
        <f t="shared" si="35"/>
        <v>x</v>
      </c>
      <c r="CG50" s="56" t="str">
        <f t="shared" si="35"/>
        <v>x</v>
      </c>
      <c r="CH50" s="56" t="str">
        <f t="shared" si="35"/>
        <v>x</v>
      </c>
      <c r="CI50" s="56" t="str">
        <f t="shared" si="35"/>
        <v>x</v>
      </c>
      <c r="CJ50" s="56" t="str">
        <f t="shared" si="35"/>
        <v>x</v>
      </c>
      <c r="CK50" s="56" t="str">
        <f t="shared" si="35"/>
        <v>x</v>
      </c>
      <c r="CL50" s="56" t="str">
        <f t="shared" si="35"/>
        <v>x</v>
      </c>
      <c r="CM50" s="56" t="str">
        <f t="shared" si="35"/>
        <v>x</v>
      </c>
      <c r="CN50" s="56" t="str">
        <f t="shared" si="35"/>
        <v>x</v>
      </c>
      <c r="CO50" s="56" t="str">
        <f t="shared" si="35"/>
        <v>x</v>
      </c>
      <c r="CP50" s="56" t="str">
        <f t="shared" si="34"/>
        <v>x</v>
      </c>
      <c r="CQ50" s="56" t="str">
        <f t="shared" si="34"/>
        <v>x</v>
      </c>
      <c r="CR50" s="56" t="str">
        <f t="shared" si="34"/>
        <v>x</v>
      </c>
      <c r="CS50" s="56" t="str">
        <f t="shared" si="34"/>
        <v>x</v>
      </c>
      <c r="CT50" s="56" t="str">
        <f t="shared" si="34"/>
        <v>x</v>
      </c>
      <c r="CU50" s="56" t="str">
        <f t="shared" si="34"/>
        <v>--</v>
      </c>
      <c r="CV50" s="56" t="str">
        <f t="shared" si="34"/>
        <v>x</v>
      </c>
      <c r="CW50" s="56" t="str">
        <f t="shared" si="34"/>
        <v>x</v>
      </c>
      <c r="CX50" s="56" t="str">
        <f t="shared" si="34"/>
        <v>x</v>
      </c>
      <c r="CY50" s="56" t="str">
        <f t="shared" si="34"/>
        <v>x</v>
      </c>
      <c r="CZ50" s="56" t="str">
        <f t="shared" si="34"/>
        <v>x</v>
      </c>
      <c r="DA50" s="56" t="str">
        <f t="shared" si="34"/>
        <v>x</v>
      </c>
      <c r="DB50" s="56" t="str">
        <f t="shared" si="34"/>
        <v>x</v>
      </c>
      <c r="DC50" s="56" t="str">
        <f t="shared" si="34"/>
        <v>x</v>
      </c>
      <c r="DD50" s="56" t="str">
        <f t="shared" si="34"/>
        <v>x</v>
      </c>
      <c r="DE50" s="56" t="str">
        <f t="shared" si="30"/>
        <v>x</v>
      </c>
      <c r="DF50" s="56" t="str">
        <f t="shared" si="30"/>
        <v>x</v>
      </c>
      <c r="DG50" s="56" t="str">
        <f t="shared" si="30"/>
        <v>x</v>
      </c>
      <c r="DH50" s="56" t="str">
        <f t="shared" si="30"/>
        <v>x</v>
      </c>
      <c r="DI50" s="56" t="str">
        <f t="shared" si="30"/>
        <v>x</v>
      </c>
      <c r="DJ50" s="56" t="str">
        <f t="shared" si="30"/>
        <v>x</v>
      </c>
      <c r="DK50" s="56" t="str">
        <f t="shared" si="30"/>
        <v>x</v>
      </c>
      <c r="DL50" s="56" t="str">
        <f t="shared" si="29"/>
        <v>x</v>
      </c>
      <c r="DM50" s="56" t="str">
        <f t="shared" si="16"/>
        <v>x</v>
      </c>
      <c r="DN50" s="56" t="str">
        <f t="shared" si="16"/>
        <v>x</v>
      </c>
      <c r="DO50" s="56" t="str">
        <f t="shared" si="16"/>
        <v>x</v>
      </c>
    </row>
    <row r="51" spans="1:120" s="18" customFormat="1" ht="29.4" thickBot="1">
      <c r="A51" s="52"/>
      <c r="B51" s="30" t="s">
        <v>12</v>
      </c>
      <c r="C51" s="29" t="s">
        <v>316</v>
      </c>
      <c r="D51" s="130" t="s">
        <v>256</v>
      </c>
      <c r="E51" s="23" t="s">
        <v>200</v>
      </c>
      <c r="F51" s="36" t="s">
        <v>3</v>
      </c>
      <c r="G51" s="37" t="s">
        <v>8</v>
      </c>
      <c r="H51" s="37"/>
      <c r="I51" s="37"/>
      <c r="J51" s="119"/>
      <c r="K51" s="56" t="str">
        <f t="shared" si="38"/>
        <v>x</v>
      </c>
      <c r="L51" s="56" t="str">
        <f t="shared" si="38"/>
        <v>x</v>
      </c>
      <c r="M51" s="56" t="str">
        <f t="shared" si="38"/>
        <v>x</v>
      </c>
      <c r="N51" s="56" t="str">
        <f t="shared" si="38"/>
        <v>x</v>
      </c>
      <c r="O51" s="56" t="str">
        <f t="shared" si="38"/>
        <v>x</v>
      </c>
      <c r="P51" s="56" t="str">
        <f t="shared" si="38"/>
        <v>x</v>
      </c>
      <c r="Q51" s="56" t="str">
        <f t="shared" si="38"/>
        <v>x</v>
      </c>
      <c r="R51" s="56" t="str">
        <f t="shared" si="38"/>
        <v>x</v>
      </c>
      <c r="S51" s="56" t="str">
        <f t="shared" si="38"/>
        <v>x</v>
      </c>
      <c r="T51" s="56" t="str">
        <f t="shared" si="38"/>
        <v>x</v>
      </c>
      <c r="U51" s="56" t="str">
        <f t="shared" si="39"/>
        <v>x</v>
      </c>
      <c r="V51" s="56" t="str">
        <f t="shared" si="39"/>
        <v>x</v>
      </c>
      <c r="W51" s="56" t="str">
        <f t="shared" si="39"/>
        <v>x</v>
      </c>
      <c r="X51" s="56" t="str">
        <f t="shared" si="39"/>
        <v>x</v>
      </c>
      <c r="Y51" s="56" t="str">
        <f t="shared" si="39"/>
        <v>x</v>
      </c>
      <c r="Z51" s="56" t="str">
        <f t="shared" si="39"/>
        <v>x</v>
      </c>
      <c r="AA51" s="56" t="str">
        <f t="shared" si="39"/>
        <v>x</v>
      </c>
      <c r="AB51" s="56" t="str">
        <f t="shared" si="39"/>
        <v>x</v>
      </c>
      <c r="AC51" s="56" t="str">
        <f t="shared" si="39"/>
        <v>x</v>
      </c>
      <c r="AD51" s="56" t="str">
        <f t="shared" si="39"/>
        <v>x</v>
      </c>
      <c r="AE51" s="56" t="str">
        <f t="shared" si="41"/>
        <v>x</v>
      </c>
      <c r="AF51" s="56" t="str">
        <f t="shared" si="41"/>
        <v>x</v>
      </c>
      <c r="AG51" s="56" t="str">
        <f t="shared" si="41"/>
        <v>x</v>
      </c>
      <c r="AH51" s="56" t="str">
        <f t="shared" si="41"/>
        <v>x</v>
      </c>
      <c r="AI51" s="56" t="str">
        <f t="shared" si="41"/>
        <v>x</v>
      </c>
      <c r="AJ51" s="56" t="str">
        <f t="shared" si="41"/>
        <v>x</v>
      </c>
      <c r="AK51" s="56" t="str">
        <f t="shared" si="41"/>
        <v>x</v>
      </c>
      <c r="AL51" s="56" t="str">
        <f t="shared" si="41"/>
        <v>x</v>
      </c>
      <c r="AM51" s="56" t="str">
        <f t="shared" si="41"/>
        <v>x</v>
      </c>
      <c r="AN51" s="56" t="str">
        <f t="shared" si="41"/>
        <v>x</v>
      </c>
      <c r="AO51" s="56" t="str">
        <f t="shared" si="41"/>
        <v>x</v>
      </c>
      <c r="AP51" s="56" t="str">
        <f t="shared" si="41"/>
        <v>x</v>
      </c>
      <c r="AQ51" s="56" t="str">
        <f t="shared" si="41"/>
        <v>x</v>
      </c>
      <c r="AR51" s="56" t="str">
        <f t="shared" si="41"/>
        <v>x</v>
      </c>
      <c r="AS51" s="56" t="str">
        <f t="shared" si="41"/>
        <v>x</v>
      </c>
      <c r="AT51" s="56" t="str">
        <f t="shared" si="40"/>
        <v>x</v>
      </c>
      <c r="AU51" s="56" t="str">
        <f t="shared" si="40"/>
        <v>x</v>
      </c>
      <c r="AV51" s="56" t="str">
        <f t="shared" si="40"/>
        <v>x</v>
      </c>
      <c r="AW51" s="56" t="str">
        <f t="shared" si="40"/>
        <v>x</v>
      </c>
      <c r="AX51" s="56" t="str">
        <f t="shared" si="40"/>
        <v>x</v>
      </c>
      <c r="AY51" s="56" t="str">
        <f t="shared" si="40"/>
        <v>x</v>
      </c>
      <c r="AZ51" s="56" t="str">
        <f t="shared" si="40"/>
        <v>x</v>
      </c>
      <c r="BA51" s="56" t="str">
        <f t="shared" si="40"/>
        <v>x</v>
      </c>
      <c r="BB51" s="56" t="str">
        <f t="shared" si="40"/>
        <v>x</v>
      </c>
      <c r="BC51" s="56" t="str">
        <f t="shared" si="40"/>
        <v>x</v>
      </c>
      <c r="BD51" s="56" t="str">
        <f t="shared" si="40"/>
        <v>--</v>
      </c>
      <c r="BE51" s="56" t="str">
        <f t="shared" si="40"/>
        <v>x</v>
      </c>
      <c r="BF51" s="56" t="str">
        <f t="shared" si="40"/>
        <v>x</v>
      </c>
      <c r="BG51" s="56" t="str">
        <f t="shared" si="40"/>
        <v>x</v>
      </c>
      <c r="BH51" s="56" t="str">
        <f t="shared" si="40"/>
        <v>x</v>
      </c>
      <c r="BI51" s="56" t="str">
        <f t="shared" si="40"/>
        <v>x</v>
      </c>
      <c r="BJ51" s="56" t="str">
        <f t="shared" si="37"/>
        <v>x</v>
      </c>
      <c r="BK51" s="56" t="str">
        <f t="shared" si="36"/>
        <v>x</v>
      </c>
      <c r="BL51" s="56" t="str">
        <f t="shared" si="36"/>
        <v>x</v>
      </c>
      <c r="BM51" s="56" t="str">
        <f t="shared" si="36"/>
        <v>x</v>
      </c>
      <c r="BN51" s="56" t="str">
        <f t="shared" si="36"/>
        <v>x</v>
      </c>
      <c r="BO51" s="56" t="str">
        <f t="shared" si="33"/>
        <v>x</v>
      </c>
      <c r="BP51" s="56" t="str">
        <f t="shared" si="33"/>
        <v>x</v>
      </c>
      <c r="BQ51" s="56" t="str">
        <f t="shared" si="33"/>
        <v>x</v>
      </c>
      <c r="BR51" s="56" t="str">
        <f t="shared" si="33"/>
        <v>x</v>
      </c>
      <c r="BS51" s="56" t="str">
        <f t="shared" si="32"/>
        <v>x</v>
      </c>
      <c r="BT51" s="56" t="str">
        <f t="shared" si="32"/>
        <v>x</v>
      </c>
      <c r="BU51" s="56" t="str">
        <f t="shared" si="32"/>
        <v>x</v>
      </c>
      <c r="BV51" s="56" t="str">
        <f t="shared" si="32"/>
        <v>x</v>
      </c>
      <c r="BW51" s="56" t="str">
        <f t="shared" si="32"/>
        <v>x</v>
      </c>
      <c r="BX51" s="56" t="str">
        <f t="shared" si="32"/>
        <v>x</v>
      </c>
      <c r="BY51" s="56" t="str">
        <f t="shared" si="32"/>
        <v>x</v>
      </c>
      <c r="BZ51" s="56" t="str">
        <f t="shared" si="35"/>
        <v>x</v>
      </c>
      <c r="CA51" s="56" t="str">
        <f t="shared" si="35"/>
        <v>x</v>
      </c>
      <c r="CB51" s="56" t="str">
        <f t="shared" si="35"/>
        <v>x</v>
      </c>
      <c r="CC51" s="56" t="str">
        <f t="shared" si="35"/>
        <v>x</v>
      </c>
      <c r="CD51" s="56" t="str">
        <f t="shared" si="35"/>
        <v>x</v>
      </c>
      <c r="CE51" s="56" t="str">
        <f t="shared" si="35"/>
        <v>x</v>
      </c>
      <c r="CF51" s="56" t="str">
        <f t="shared" si="35"/>
        <v>x</v>
      </c>
      <c r="CG51" s="56" t="str">
        <f t="shared" si="35"/>
        <v>x</v>
      </c>
      <c r="CH51" s="56" t="str">
        <f t="shared" si="35"/>
        <v>x</v>
      </c>
      <c r="CI51" s="56" t="str">
        <f t="shared" si="35"/>
        <v>x</v>
      </c>
      <c r="CJ51" s="56" t="str">
        <f t="shared" si="35"/>
        <v>x</v>
      </c>
      <c r="CK51" s="56" t="str">
        <f t="shared" si="35"/>
        <v>x</v>
      </c>
      <c r="CL51" s="56" t="str">
        <f t="shared" si="35"/>
        <v>x</v>
      </c>
      <c r="CM51" s="56" t="str">
        <f t="shared" si="35"/>
        <v>x</v>
      </c>
      <c r="CN51" s="56" t="str">
        <f t="shared" si="35"/>
        <v>x</v>
      </c>
      <c r="CO51" s="56" t="str">
        <f t="shared" si="35"/>
        <v>x</v>
      </c>
      <c r="CP51" s="56" t="str">
        <f t="shared" si="34"/>
        <v>x</v>
      </c>
      <c r="CQ51" s="56" t="str">
        <f t="shared" si="34"/>
        <v>x</v>
      </c>
      <c r="CR51" s="56" t="str">
        <f t="shared" si="34"/>
        <v>x</v>
      </c>
      <c r="CS51" s="56" t="str">
        <f t="shared" si="34"/>
        <v>x</v>
      </c>
      <c r="CT51" s="56" t="str">
        <f t="shared" si="34"/>
        <v>x</v>
      </c>
      <c r="CU51" s="56" t="str">
        <f t="shared" si="34"/>
        <v>x</v>
      </c>
      <c r="CV51" s="56" t="str">
        <f t="shared" si="34"/>
        <v>x</v>
      </c>
      <c r="CW51" s="56" t="str">
        <f t="shared" si="34"/>
        <v>x</v>
      </c>
      <c r="CX51" s="56" t="str">
        <f t="shared" si="34"/>
        <v>x</v>
      </c>
      <c r="CY51" s="56" t="str">
        <f t="shared" si="34"/>
        <v>x</v>
      </c>
      <c r="CZ51" s="56" t="str">
        <f t="shared" si="34"/>
        <v>x</v>
      </c>
      <c r="DA51" s="56" t="str">
        <f t="shared" si="34"/>
        <v>x</v>
      </c>
      <c r="DB51" s="56" t="str">
        <f t="shared" si="34"/>
        <v>x</v>
      </c>
      <c r="DC51" s="56" t="str">
        <f t="shared" si="34"/>
        <v>x</v>
      </c>
      <c r="DD51" s="56" t="str">
        <f t="shared" si="34"/>
        <v>x</v>
      </c>
      <c r="DE51" s="56" t="str">
        <f t="shared" si="30"/>
        <v>x</v>
      </c>
      <c r="DF51" s="56" t="str">
        <f t="shared" si="30"/>
        <v>x</v>
      </c>
      <c r="DG51" s="56" t="str">
        <f t="shared" si="30"/>
        <v>x</v>
      </c>
      <c r="DH51" s="56" t="str">
        <f t="shared" si="30"/>
        <v>x</v>
      </c>
      <c r="DI51" s="56" t="str">
        <f t="shared" si="30"/>
        <v>x</v>
      </c>
      <c r="DJ51" s="56" t="str">
        <f t="shared" si="30"/>
        <v>x</v>
      </c>
      <c r="DK51" s="56" t="str">
        <f t="shared" si="30"/>
        <v>x</v>
      </c>
      <c r="DL51" s="56" t="str">
        <f t="shared" si="29"/>
        <v>--</v>
      </c>
      <c r="DM51" s="56" t="str">
        <f t="shared" si="16"/>
        <v>x</v>
      </c>
      <c r="DN51" s="56" t="str">
        <f t="shared" si="16"/>
        <v>x</v>
      </c>
      <c r="DO51" s="56" t="str">
        <f t="shared" si="16"/>
        <v>x</v>
      </c>
    </row>
    <row r="52" spans="1:120" s="18" customFormat="1" ht="48.75" customHeight="1">
      <c r="A52" s="52"/>
      <c r="B52" s="30" t="s">
        <v>124</v>
      </c>
      <c r="C52" s="29" t="s">
        <v>317</v>
      </c>
      <c r="D52" s="130" t="s">
        <v>257</v>
      </c>
      <c r="E52" s="23" t="s">
        <v>200</v>
      </c>
      <c r="F52" s="36" t="s">
        <v>3</v>
      </c>
      <c r="G52" s="37" t="s">
        <v>8</v>
      </c>
      <c r="H52" s="37"/>
      <c r="I52" s="37"/>
      <c r="J52" s="119"/>
      <c r="K52" s="56" t="str">
        <f t="shared" si="38"/>
        <v>x</v>
      </c>
      <c r="L52" s="56" t="str">
        <f t="shared" si="38"/>
        <v>x</v>
      </c>
      <c r="M52" s="56" t="str">
        <f t="shared" si="38"/>
        <v>x</v>
      </c>
      <c r="N52" s="56" t="str">
        <f t="shared" si="38"/>
        <v>x</v>
      </c>
      <c r="O52" s="56" t="str">
        <f t="shared" si="38"/>
        <v>x</v>
      </c>
      <c r="P52" s="56" t="str">
        <f t="shared" si="38"/>
        <v>x</v>
      </c>
      <c r="Q52" s="56" t="str">
        <f t="shared" si="38"/>
        <v>x</v>
      </c>
      <c r="R52" s="56" t="str">
        <f t="shared" si="38"/>
        <v>x</v>
      </c>
      <c r="S52" s="56" t="str">
        <f t="shared" si="38"/>
        <v>x</v>
      </c>
      <c r="T52" s="56" t="str">
        <f t="shared" si="38"/>
        <v>x</v>
      </c>
      <c r="U52" s="56" t="str">
        <f t="shared" si="39"/>
        <v>x</v>
      </c>
      <c r="V52" s="56" t="str">
        <f t="shared" si="39"/>
        <v>x</v>
      </c>
      <c r="W52" s="56" t="str">
        <f t="shared" si="39"/>
        <v>x</v>
      </c>
      <c r="X52" s="56" t="str">
        <f t="shared" si="39"/>
        <v>x</v>
      </c>
      <c r="Y52" s="56" t="str">
        <f t="shared" si="39"/>
        <v>x</v>
      </c>
      <c r="Z52" s="56" t="str">
        <f t="shared" si="39"/>
        <v>x</v>
      </c>
      <c r="AA52" s="56" t="str">
        <f t="shared" si="39"/>
        <v>x</v>
      </c>
      <c r="AB52" s="56" t="str">
        <f t="shared" si="39"/>
        <v>x</v>
      </c>
      <c r="AC52" s="56" t="str">
        <f t="shared" si="39"/>
        <v>x</v>
      </c>
      <c r="AD52" s="56" t="str">
        <f t="shared" si="39"/>
        <v>x</v>
      </c>
      <c r="AE52" s="56" t="str">
        <f t="shared" si="41"/>
        <v>x</v>
      </c>
      <c r="AF52" s="56" t="str">
        <f t="shared" si="41"/>
        <v>x</v>
      </c>
      <c r="AG52" s="56" t="str">
        <f t="shared" si="41"/>
        <v>x</v>
      </c>
      <c r="AH52" s="56" t="str">
        <f t="shared" si="41"/>
        <v>x</v>
      </c>
      <c r="AI52" s="56" t="str">
        <f t="shared" si="41"/>
        <v>x</v>
      </c>
      <c r="AJ52" s="56" t="str">
        <f t="shared" si="41"/>
        <v>x</v>
      </c>
      <c r="AK52" s="56" t="str">
        <f t="shared" si="41"/>
        <v>x</v>
      </c>
      <c r="AL52" s="56" t="str">
        <f t="shared" si="41"/>
        <v>x</v>
      </c>
      <c r="AM52" s="56" t="str">
        <f t="shared" si="41"/>
        <v>x</v>
      </c>
      <c r="AN52" s="56" t="str">
        <f t="shared" si="41"/>
        <v>x</v>
      </c>
      <c r="AO52" s="56" t="str">
        <f t="shared" si="41"/>
        <v>x</v>
      </c>
      <c r="AP52" s="56" t="str">
        <f t="shared" si="41"/>
        <v>x</v>
      </c>
      <c r="AQ52" s="56" t="str">
        <f t="shared" si="41"/>
        <v>x</v>
      </c>
      <c r="AR52" s="56" t="str">
        <f t="shared" si="41"/>
        <v>x</v>
      </c>
      <c r="AS52" s="56" t="str">
        <f t="shared" si="41"/>
        <v>x</v>
      </c>
      <c r="AT52" s="56" t="str">
        <f t="shared" si="40"/>
        <v>x</v>
      </c>
      <c r="AU52" s="56" t="str">
        <f t="shared" si="40"/>
        <v>x</v>
      </c>
      <c r="AV52" s="56" t="str">
        <f t="shared" si="40"/>
        <v>x</v>
      </c>
      <c r="AW52" s="56" t="str">
        <f t="shared" si="40"/>
        <v>x</v>
      </c>
      <c r="AX52" s="56" t="str">
        <f t="shared" si="40"/>
        <v>x</v>
      </c>
      <c r="AY52" s="56" t="str">
        <f t="shared" si="40"/>
        <v>x</v>
      </c>
      <c r="AZ52" s="56" t="str">
        <f t="shared" si="40"/>
        <v>x</v>
      </c>
      <c r="BA52" s="56" t="str">
        <f t="shared" si="40"/>
        <v>x</v>
      </c>
      <c r="BB52" s="56" t="str">
        <f t="shared" si="40"/>
        <v>x</v>
      </c>
      <c r="BC52" s="56" t="str">
        <f t="shared" si="40"/>
        <v>x</v>
      </c>
      <c r="BD52" s="56" t="str">
        <f t="shared" si="40"/>
        <v>x</v>
      </c>
      <c r="BE52" s="56" t="str">
        <f t="shared" si="40"/>
        <v>--</v>
      </c>
      <c r="BF52" s="56" t="str">
        <f t="shared" si="40"/>
        <v>x</v>
      </c>
      <c r="BG52" s="56" t="str">
        <f t="shared" si="40"/>
        <v>x</v>
      </c>
      <c r="BH52" s="56" t="str">
        <f t="shared" si="40"/>
        <v>x</v>
      </c>
      <c r="BI52" s="56" t="str">
        <f t="shared" si="40"/>
        <v>x</v>
      </c>
      <c r="BJ52" s="56" t="str">
        <f t="shared" si="37"/>
        <v>x</v>
      </c>
      <c r="BK52" s="56" t="str">
        <f t="shared" si="36"/>
        <v>x</v>
      </c>
      <c r="BL52" s="56" t="str">
        <f t="shared" si="36"/>
        <v>x</v>
      </c>
      <c r="BM52" s="56" t="str">
        <f t="shared" si="36"/>
        <v>x</v>
      </c>
      <c r="BN52" s="56" t="str">
        <f t="shared" si="36"/>
        <v>x</v>
      </c>
      <c r="BO52" s="56" t="str">
        <f t="shared" si="33"/>
        <v>x</v>
      </c>
      <c r="BP52" s="56" t="str">
        <f t="shared" si="33"/>
        <v>x</v>
      </c>
      <c r="BQ52" s="56" t="str">
        <f t="shared" si="33"/>
        <v>x</v>
      </c>
      <c r="BR52" s="56" t="str">
        <f t="shared" si="33"/>
        <v>x</v>
      </c>
      <c r="BS52" s="56" t="str">
        <f t="shared" si="32"/>
        <v>x</v>
      </c>
      <c r="BT52" s="56" t="str">
        <f t="shared" si="32"/>
        <v>x</v>
      </c>
      <c r="BU52" s="56" t="str">
        <f t="shared" si="32"/>
        <v>x</v>
      </c>
      <c r="BV52" s="56" t="str">
        <f t="shared" si="32"/>
        <v>x</v>
      </c>
      <c r="BW52" s="56" t="str">
        <f t="shared" si="32"/>
        <v>x</v>
      </c>
      <c r="BX52" s="56" t="str">
        <f t="shared" si="32"/>
        <v>x</v>
      </c>
      <c r="BY52" s="56" t="str">
        <f t="shared" si="32"/>
        <v>x</v>
      </c>
      <c r="BZ52" s="56" t="str">
        <f t="shared" si="35"/>
        <v>x</v>
      </c>
      <c r="CA52" s="56" t="str">
        <f t="shared" si="35"/>
        <v>x</v>
      </c>
      <c r="CB52" s="56" t="str">
        <f t="shared" si="35"/>
        <v>x</v>
      </c>
      <c r="CC52" s="56" t="str">
        <f t="shared" si="35"/>
        <v>x</v>
      </c>
      <c r="CD52" s="56" t="str">
        <f t="shared" si="35"/>
        <v>x</v>
      </c>
      <c r="CE52" s="56" t="str">
        <f t="shared" si="35"/>
        <v>x</v>
      </c>
      <c r="CF52" s="56" t="str">
        <f t="shared" si="35"/>
        <v>x</v>
      </c>
      <c r="CG52" s="56" t="str">
        <f t="shared" si="35"/>
        <v>x</v>
      </c>
      <c r="CH52" s="56" t="str">
        <f t="shared" si="35"/>
        <v>x</v>
      </c>
      <c r="CI52" s="56" t="str">
        <f t="shared" si="35"/>
        <v>x</v>
      </c>
      <c r="CJ52" s="56" t="str">
        <f t="shared" si="35"/>
        <v>x</v>
      </c>
      <c r="CK52" s="56" t="str">
        <f t="shared" si="35"/>
        <v>x</v>
      </c>
      <c r="CL52" s="56" t="str">
        <f t="shared" si="35"/>
        <v>x</v>
      </c>
      <c r="CM52" s="56" t="str">
        <f t="shared" si="35"/>
        <v>x</v>
      </c>
      <c r="CN52" s="56" t="str">
        <f t="shared" si="35"/>
        <v>x</v>
      </c>
      <c r="CO52" s="56" t="str">
        <f t="shared" si="35"/>
        <v>x</v>
      </c>
      <c r="CP52" s="56" t="str">
        <f t="shared" si="34"/>
        <v>x</v>
      </c>
      <c r="CQ52" s="56" t="str">
        <f t="shared" si="34"/>
        <v>x</v>
      </c>
      <c r="CR52" s="56" t="str">
        <f t="shared" si="34"/>
        <v>x</v>
      </c>
      <c r="CS52" s="56" t="str">
        <f t="shared" si="34"/>
        <v>x</v>
      </c>
      <c r="CT52" s="56" t="str">
        <f t="shared" si="34"/>
        <v>x</v>
      </c>
      <c r="CU52" s="56" t="str">
        <f t="shared" si="34"/>
        <v>x</v>
      </c>
      <c r="CV52" s="56" t="str">
        <f t="shared" si="34"/>
        <v>x</v>
      </c>
      <c r="CW52" s="56" t="str">
        <f t="shared" si="34"/>
        <v>x</v>
      </c>
      <c r="CX52" s="56" t="str">
        <f t="shared" si="34"/>
        <v>x</v>
      </c>
      <c r="CY52" s="56" t="str">
        <f t="shared" si="34"/>
        <v>x</v>
      </c>
      <c r="CZ52" s="56" t="str">
        <f t="shared" si="34"/>
        <v>x</v>
      </c>
      <c r="DA52" s="56" t="str">
        <f t="shared" si="34"/>
        <v>x</v>
      </c>
      <c r="DB52" s="56" t="str">
        <f t="shared" si="34"/>
        <v>x</v>
      </c>
      <c r="DC52" s="56" t="str">
        <f t="shared" si="34"/>
        <v>x</v>
      </c>
      <c r="DD52" s="56" t="str">
        <f t="shared" si="34"/>
        <v>x</v>
      </c>
      <c r="DE52" s="56" t="str">
        <f t="shared" si="30"/>
        <v>x</v>
      </c>
      <c r="DF52" s="56" t="str">
        <f t="shared" si="30"/>
        <v>x</v>
      </c>
      <c r="DG52" s="56" t="str">
        <f t="shared" si="30"/>
        <v>x</v>
      </c>
      <c r="DH52" s="56" t="str">
        <f t="shared" si="30"/>
        <v>x</v>
      </c>
      <c r="DI52" s="56" t="str">
        <f t="shared" si="30"/>
        <v>x</v>
      </c>
      <c r="DJ52" s="56" t="str">
        <f t="shared" si="30"/>
        <v>x</v>
      </c>
      <c r="DK52" s="56" t="str">
        <f t="shared" si="30"/>
        <v>x</v>
      </c>
      <c r="DL52" s="56" t="str">
        <f t="shared" si="29"/>
        <v>--</v>
      </c>
      <c r="DM52" s="56" t="str">
        <f t="shared" si="16"/>
        <v>x</v>
      </c>
      <c r="DN52" s="56" t="str">
        <f t="shared" si="16"/>
        <v>x</v>
      </c>
      <c r="DO52" s="56" t="str">
        <f t="shared" si="16"/>
        <v>x</v>
      </c>
    </row>
    <row r="53" spans="1:120" ht="57.6">
      <c r="A53" s="52" t="s">
        <v>318</v>
      </c>
      <c r="B53" s="30" t="s">
        <v>122</v>
      </c>
      <c r="C53" s="29" t="s">
        <v>319</v>
      </c>
      <c r="D53" s="130" t="s">
        <v>258</v>
      </c>
      <c r="E53" s="23" t="s">
        <v>172</v>
      </c>
      <c r="F53" s="36" t="s">
        <v>3</v>
      </c>
      <c r="G53" s="37"/>
      <c r="H53" s="37"/>
      <c r="I53" s="37"/>
      <c r="J53" s="119"/>
      <c r="K53" s="56" t="str">
        <f t="shared" si="38"/>
        <v>x</v>
      </c>
      <c r="L53" s="56" t="str">
        <f t="shared" si="38"/>
        <v>x</v>
      </c>
      <c r="M53" s="56" t="str">
        <f t="shared" si="38"/>
        <v>x</v>
      </c>
      <c r="N53" s="56" t="str">
        <f t="shared" si="38"/>
        <v>x</v>
      </c>
      <c r="O53" s="56" t="str">
        <f t="shared" si="38"/>
        <v>x</v>
      </c>
      <c r="P53" s="56" t="str">
        <f t="shared" si="38"/>
        <v>x</v>
      </c>
      <c r="Q53" s="56" t="str">
        <f t="shared" si="38"/>
        <v>x</v>
      </c>
      <c r="R53" s="56" t="str">
        <f t="shared" si="38"/>
        <v>x</v>
      </c>
      <c r="S53" s="56" t="str">
        <f t="shared" si="38"/>
        <v>x</v>
      </c>
      <c r="T53" s="56" t="str">
        <f t="shared" si="38"/>
        <v>x</v>
      </c>
      <c r="U53" s="56" t="str">
        <f t="shared" si="39"/>
        <v>x</v>
      </c>
      <c r="V53" s="56" t="str">
        <f t="shared" si="39"/>
        <v>x</v>
      </c>
      <c r="W53" s="56" t="str">
        <f t="shared" si="39"/>
        <v>x</v>
      </c>
      <c r="X53" s="56" t="str">
        <f t="shared" si="39"/>
        <v>x</v>
      </c>
      <c r="Y53" s="56" t="str">
        <f t="shared" si="39"/>
        <v>x</v>
      </c>
      <c r="Z53" s="56" t="str">
        <f t="shared" si="39"/>
        <v>x</v>
      </c>
      <c r="AA53" s="56" t="str">
        <f t="shared" si="39"/>
        <v>x</v>
      </c>
      <c r="AB53" s="56" t="str">
        <f t="shared" si="39"/>
        <v>x</v>
      </c>
      <c r="AC53" s="56" t="str">
        <f t="shared" si="39"/>
        <v>x</v>
      </c>
      <c r="AD53" s="56" t="str">
        <f t="shared" si="39"/>
        <v>x</v>
      </c>
      <c r="AE53" s="56" t="str">
        <f t="shared" si="41"/>
        <v>x</v>
      </c>
      <c r="AF53" s="56" t="str">
        <f t="shared" si="41"/>
        <v>x</v>
      </c>
      <c r="AG53" s="56" t="str">
        <f t="shared" si="41"/>
        <v>x</v>
      </c>
      <c r="AH53" s="56" t="str">
        <f t="shared" si="41"/>
        <v>x</v>
      </c>
      <c r="AI53" s="56" t="str">
        <f t="shared" si="41"/>
        <v>x</v>
      </c>
      <c r="AJ53" s="56" t="str">
        <f t="shared" si="41"/>
        <v>x</v>
      </c>
      <c r="AK53" s="56" t="str">
        <f t="shared" si="41"/>
        <v>x</v>
      </c>
      <c r="AL53" s="56" t="str">
        <f t="shared" si="41"/>
        <v>x</v>
      </c>
      <c r="AM53" s="56" t="str">
        <f t="shared" si="41"/>
        <v>x</v>
      </c>
      <c r="AN53" s="56" t="str">
        <f t="shared" si="41"/>
        <v>x</v>
      </c>
      <c r="AO53" s="56" t="str">
        <f t="shared" si="41"/>
        <v>x</v>
      </c>
      <c r="AP53" s="56" t="str">
        <f t="shared" si="41"/>
        <v>x</v>
      </c>
      <c r="AQ53" s="56" t="str">
        <f t="shared" si="41"/>
        <v>x</v>
      </c>
      <c r="AR53" s="56" t="str">
        <f t="shared" si="41"/>
        <v>x</v>
      </c>
      <c r="AS53" s="56" t="str">
        <f t="shared" si="41"/>
        <v>x</v>
      </c>
      <c r="AT53" s="56" t="str">
        <f t="shared" si="40"/>
        <v>x</v>
      </c>
      <c r="AU53" s="56" t="str">
        <f t="shared" si="40"/>
        <v>x</v>
      </c>
      <c r="AV53" s="56" t="str">
        <f t="shared" si="40"/>
        <v>x</v>
      </c>
      <c r="AW53" s="56" t="str">
        <f t="shared" si="40"/>
        <v>x</v>
      </c>
      <c r="AX53" s="56" t="str">
        <f t="shared" si="40"/>
        <v>x</v>
      </c>
      <c r="AY53" s="56" t="str">
        <f t="shared" si="40"/>
        <v>x</v>
      </c>
      <c r="AZ53" s="56" t="str">
        <f t="shared" si="40"/>
        <v>x</v>
      </c>
      <c r="BA53" s="56" t="str">
        <f t="shared" si="40"/>
        <v>x</v>
      </c>
      <c r="BB53" s="56" t="str">
        <f t="shared" si="40"/>
        <v>x</v>
      </c>
      <c r="BC53" s="56" t="str">
        <f t="shared" si="40"/>
        <v>x</v>
      </c>
      <c r="BD53" s="56" t="str">
        <f t="shared" si="40"/>
        <v>x</v>
      </c>
      <c r="BE53" s="56" t="str">
        <f t="shared" si="40"/>
        <v>x</v>
      </c>
      <c r="BF53" s="56" t="str">
        <f t="shared" si="40"/>
        <v>--</v>
      </c>
      <c r="BG53" s="56" t="str">
        <f t="shared" si="40"/>
        <v>x</v>
      </c>
      <c r="BH53" s="56" t="str">
        <f t="shared" si="40"/>
        <v>x</v>
      </c>
      <c r="BI53" s="56" t="str">
        <f t="shared" si="40"/>
        <v>x</v>
      </c>
      <c r="BJ53" s="56" t="str">
        <f t="shared" si="37"/>
        <v>x</v>
      </c>
      <c r="BK53" s="56" t="str">
        <f t="shared" si="36"/>
        <v>x</v>
      </c>
      <c r="BL53" s="56" t="str">
        <f t="shared" si="36"/>
        <v>x</v>
      </c>
      <c r="BM53" s="56" t="str">
        <f t="shared" si="36"/>
        <v>x</v>
      </c>
      <c r="BN53" s="56" t="str">
        <f t="shared" si="36"/>
        <v>x</v>
      </c>
      <c r="BO53" s="56" t="str">
        <f t="shared" si="33"/>
        <v>x</v>
      </c>
      <c r="BP53" s="56" t="str">
        <f t="shared" si="33"/>
        <v>x</v>
      </c>
      <c r="BQ53" s="56" t="str">
        <f t="shared" si="33"/>
        <v>x</v>
      </c>
      <c r="BR53" s="56" t="str">
        <f t="shared" si="33"/>
        <v>x</v>
      </c>
      <c r="BS53" s="56" t="str">
        <f t="shared" si="32"/>
        <v>x</v>
      </c>
      <c r="BT53" s="56" t="str">
        <f t="shared" si="32"/>
        <v>x</v>
      </c>
      <c r="BU53" s="56" t="str">
        <f t="shared" si="32"/>
        <v>x</v>
      </c>
      <c r="BV53" s="56" t="str">
        <f t="shared" si="32"/>
        <v>x</v>
      </c>
      <c r="BW53" s="56" t="str">
        <f t="shared" si="32"/>
        <v>x</v>
      </c>
      <c r="BX53" s="56" t="str">
        <f t="shared" si="32"/>
        <v>x</v>
      </c>
      <c r="BY53" s="56" t="str">
        <f t="shared" si="32"/>
        <v>x</v>
      </c>
      <c r="BZ53" s="56" t="str">
        <f t="shared" si="35"/>
        <v>x</v>
      </c>
      <c r="CA53" s="56" t="str">
        <f t="shared" si="35"/>
        <v>x</v>
      </c>
      <c r="CB53" s="56" t="str">
        <f t="shared" si="35"/>
        <v>x</v>
      </c>
      <c r="CC53" s="56" t="str">
        <f t="shared" si="35"/>
        <v>x</v>
      </c>
      <c r="CD53" s="56" t="str">
        <f t="shared" si="35"/>
        <v>x</v>
      </c>
      <c r="CE53" s="56" t="str">
        <f t="shared" si="35"/>
        <v>x</v>
      </c>
      <c r="CF53" s="56" t="str">
        <f t="shared" si="35"/>
        <v>x</v>
      </c>
      <c r="CG53" s="56" t="str">
        <f t="shared" si="35"/>
        <v>x</v>
      </c>
      <c r="CH53" s="56" t="str">
        <f t="shared" si="35"/>
        <v>x</v>
      </c>
      <c r="CI53" s="56" t="str">
        <f t="shared" si="35"/>
        <v>x</v>
      </c>
      <c r="CJ53" s="56" t="str">
        <f t="shared" si="35"/>
        <v>--</v>
      </c>
      <c r="CK53" s="56" t="str">
        <f t="shared" si="35"/>
        <v>x</v>
      </c>
      <c r="CL53" s="56" t="str">
        <f t="shared" si="35"/>
        <v>x</v>
      </c>
      <c r="CM53" s="56" t="str">
        <f t="shared" si="35"/>
        <v>x</v>
      </c>
      <c r="CN53" s="56" t="str">
        <f t="shared" si="35"/>
        <v>x</v>
      </c>
      <c r="CO53" s="56" t="str">
        <f t="shared" si="35"/>
        <v>x</v>
      </c>
      <c r="CP53" s="56" t="str">
        <f t="shared" si="34"/>
        <v>x</v>
      </c>
      <c r="CQ53" s="56" t="str">
        <f t="shared" si="34"/>
        <v>x</v>
      </c>
      <c r="CR53" s="56" t="str">
        <f t="shared" si="34"/>
        <v>x</v>
      </c>
      <c r="CS53" s="56" t="str">
        <f t="shared" si="34"/>
        <v>x</v>
      </c>
      <c r="CT53" s="56" t="str">
        <f t="shared" si="34"/>
        <v>x</v>
      </c>
      <c r="CU53" s="56" t="str">
        <f t="shared" si="34"/>
        <v>x</v>
      </c>
      <c r="CV53" s="56" t="str">
        <f t="shared" si="34"/>
        <v>x</v>
      </c>
      <c r="CW53" s="56" t="str">
        <f t="shared" si="34"/>
        <v>x</v>
      </c>
      <c r="CX53" s="56" t="str">
        <f t="shared" si="34"/>
        <v>x</v>
      </c>
      <c r="CY53" s="56" t="str">
        <f t="shared" si="34"/>
        <v>x</v>
      </c>
      <c r="CZ53" s="56" t="str">
        <f t="shared" si="34"/>
        <v>x</v>
      </c>
      <c r="DA53" s="56" t="str">
        <f t="shared" si="34"/>
        <v>x</v>
      </c>
      <c r="DB53" s="56" t="str">
        <f t="shared" si="34"/>
        <v>x</v>
      </c>
      <c r="DC53" s="56" t="str">
        <f t="shared" si="34"/>
        <v>x</v>
      </c>
      <c r="DD53" s="56" t="str">
        <f t="shared" si="34"/>
        <v>x</v>
      </c>
      <c r="DE53" s="56" t="str">
        <f t="shared" si="30"/>
        <v>x</v>
      </c>
      <c r="DF53" s="56" t="str">
        <f t="shared" si="30"/>
        <v>x</v>
      </c>
      <c r="DG53" s="56" t="str">
        <f t="shared" si="30"/>
        <v>x</v>
      </c>
      <c r="DH53" s="56" t="str">
        <f t="shared" si="30"/>
        <v>x</v>
      </c>
      <c r="DI53" s="56" t="str">
        <f t="shared" si="30"/>
        <v>x</v>
      </c>
      <c r="DJ53" s="56" t="str">
        <f t="shared" si="30"/>
        <v>x</v>
      </c>
      <c r="DK53" s="56" t="str">
        <f t="shared" si="30"/>
        <v>x</v>
      </c>
      <c r="DL53" s="56" t="str">
        <f t="shared" si="29"/>
        <v>x</v>
      </c>
      <c r="DM53" s="56" t="str">
        <f t="shared" si="16"/>
        <v>x</v>
      </c>
      <c r="DN53" s="56" t="str">
        <f t="shared" si="16"/>
        <v>x</v>
      </c>
      <c r="DO53" s="56" t="str">
        <f t="shared" si="16"/>
        <v>x</v>
      </c>
    </row>
    <row r="54" spans="1:120" s="15" customFormat="1" ht="58.2" thickBot="1">
      <c r="A54" s="52"/>
      <c r="B54" s="30" t="s">
        <v>123</v>
      </c>
      <c r="C54" s="29" t="s">
        <v>320</v>
      </c>
      <c r="D54" s="130" t="s">
        <v>259</v>
      </c>
      <c r="E54" s="23" t="s">
        <v>171</v>
      </c>
      <c r="F54" s="36" t="s">
        <v>3</v>
      </c>
      <c r="G54" s="37"/>
      <c r="H54" s="37"/>
      <c r="I54" s="37"/>
      <c r="J54" s="119"/>
      <c r="K54" s="56" t="str">
        <f t="shared" si="38"/>
        <v>x</v>
      </c>
      <c r="L54" s="56" t="str">
        <f t="shared" si="38"/>
        <v>x</v>
      </c>
      <c r="M54" s="56" t="str">
        <f t="shared" si="38"/>
        <v>x</v>
      </c>
      <c r="N54" s="56" t="str">
        <f t="shared" si="38"/>
        <v>x</v>
      </c>
      <c r="O54" s="56" t="str">
        <f t="shared" si="38"/>
        <v>x</v>
      </c>
      <c r="P54" s="56" t="str">
        <f t="shared" si="38"/>
        <v>x</v>
      </c>
      <c r="Q54" s="56" t="str">
        <f t="shared" si="38"/>
        <v>x</v>
      </c>
      <c r="R54" s="56" t="str">
        <f t="shared" si="38"/>
        <v>x</v>
      </c>
      <c r="S54" s="56" t="str">
        <f t="shared" si="38"/>
        <v>x</v>
      </c>
      <c r="T54" s="56" t="str">
        <f t="shared" si="38"/>
        <v>x</v>
      </c>
      <c r="U54" s="56" t="str">
        <f t="shared" si="39"/>
        <v>x</v>
      </c>
      <c r="V54" s="56" t="str">
        <f t="shared" si="39"/>
        <v>x</v>
      </c>
      <c r="W54" s="56" t="str">
        <f t="shared" si="39"/>
        <v>x</v>
      </c>
      <c r="X54" s="56" t="str">
        <f t="shared" si="39"/>
        <v>x</v>
      </c>
      <c r="Y54" s="56" t="str">
        <f t="shared" si="39"/>
        <v>x</v>
      </c>
      <c r="Z54" s="56" t="str">
        <f t="shared" si="39"/>
        <v>x</v>
      </c>
      <c r="AA54" s="56" t="str">
        <f t="shared" si="39"/>
        <v>x</v>
      </c>
      <c r="AB54" s="56" t="str">
        <f t="shared" si="39"/>
        <v>x</v>
      </c>
      <c r="AC54" s="56" t="str">
        <f t="shared" si="39"/>
        <v>x</v>
      </c>
      <c r="AD54" s="56" t="str">
        <f t="shared" si="39"/>
        <v>x</v>
      </c>
      <c r="AE54" s="56" t="str">
        <f t="shared" si="41"/>
        <v>x</v>
      </c>
      <c r="AF54" s="56" t="str">
        <f t="shared" si="41"/>
        <v>x</v>
      </c>
      <c r="AG54" s="56" t="str">
        <f t="shared" si="41"/>
        <v>x</v>
      </c>
      <c r="AH54" s="56" t="str">
        <f t="shared" si="41"/>
        <v>x</v>
      </c>
      <c r="AI54" s="56" t="str">
        <f t="shared" si="41"/>
        <v>x</v>
      </c>
      <c r="AJ54" s="56" t="str">
        <f t="shared" si="41"/>
        <v>x</v>
      </c>
      <c r="AK54" s="56" t="str">
        <f t="shared" si="41"/>
        <v>x</v>
      </c>
      <c r="AL54" s="56" t="str">
        <f t="shared" si="41"/>
        <v>x</v>
      </c>
      <c r="AM54" s="56" t="str">
        <f t="shared" si="41"/>
        <v>x</v>
      </c>
      <c r="AN54" s="56" t="str">
        <f t="shared" si="41"/>
        <v>x</v>
      </c>
      <c r="AO54" s="56" t="str">
        <f t="shared" si="41"/>
        <v>x</v>
      </c>
      <c r="AP54" s="56" t="str">
        <f t="shared" si="41"/>
        <v>x</v>
      </c>
      <c r="AQ54" s="56" t="str">
        <f t="shared" si="41"/>
        <v>x</v>
      </c>
      <c r="AR54" s="56" t="str">
        <f t="shared" si="41"/>
        <v>x</v>
      </c>
      <c r="AS54" s="56" t="str">
        <f t="shared" si="41"/>
        <v>x</v>
      </c>
      <c r="AT54" s="56" t="str">
        <f t="shared" si="40"/>
        <v>x</v>
      </c>
      <c r="AU54" s="56" t="str">
        <f t="shared" si="40"/>
        <v>x</v>
      </c>
      <c r="AV54" s="56" t="str">
        <f t="shared" si="40"/>
        <v>x</v>
      </c>
      <c r="AW54" s="56" t="str">
        <f t="shared" si="40"/>
        <v>x</v>
      </c>
      <c r="AX54" s="56" t="str">
        <f t="shared" si="40"/>
        <v>x</v>
      </c>
      <c r="AY54" s="56" t="str">
        <f t="shared" si="40"/>
        <v>x</v>
      </c>
      <c r="AZ54" s="56" t="str">
        <f t="shared" si="40"/>
        <v>x</v>
      </c>
      <c r="BA54" s="56" t="str">
        <f t="shared" si="40"/>
        <v>x</v>
      </c>
      <c r="BB54" s="56" t="str">
        <f t="shared" si="40"/>
        <v>x</v>
      </c>
      <c r="BC54" s="56" t="str">
        <f t="shared" si="40"/>
        <v>x</v>
      </c>
      <c r="BD54" s="56" t="str">
        <f t="shared" si="40"/>
        <v>x</v>
      </c>
      <c r="BE54" s="56" t="str">
        <f t="shared" si="40"/>
        <v>x</v>
      </c>
      <c r="BF54" s="56" t="str">
        <f t="shared" si="40"/>
        <v>x</v>
      </c>
      <c r="BG54" s="56" t="str">
        <f t="shared" si="40"/>
        <v>--</v>
      </c>
      <c r="BH54" s="56" t="str">
        <f t="shared" si="40"/>
        <v>x</v>
      </c>
      <c r="BI54" s="56" t="str">
        <f t="shared" si="40"/>
        <v>x</v>
      </c>
      <c r="BJ54" s="56" t="str">
        <f t="shared" si="37"/>
        <v>x</v>
      </c>
      <c r="BK54" s="56" t="str">
        <f t="shared" si="36"/>
        <v>x</v>
      </c>
      <c r="BL54" s="56" t="str">
        <f t="shared" si="36"/>
        <v>x</v>
      </c>
      <c r="BM54" s="56" t="str">
        <f t="shared" si="36"/>
        <v>x</v>
      </c>
      <c r="BN54" s="56" t="str">
        <f t="shared" si="36"/>
        <v>x</v>
      </c>
      <c r="BO54" s="56" t="str">
        <f t="shared" si="33"/>
        <v>x</v>
      </c>
      <c r="BP54" s="56" t="str">
        <f t="shared" si="33"/>
        <v>x</v>
      </c>
      <c r="BQ54" s="56" t="str">
        <f t="shared" si="33"/>
        <v>x</v>
      </c>
      <c r="BR54" s="56" t="str">
        <f t="shared" si="33"/>
        <v>x</v>
      </c>
      <c r="BS54" s="56" t="str">
        <f t="shared" si="32"/>
        <v>x</v>
      </c>
      <c r="BT54" s="56" t="str">
        <f t="shared" si="32"/>
        <v>x</v>
      </c>
      <c r="BU54" s="56" t="str">
        <f t="shared" si="32"/>
        <v>x</v>
      </c>
      <c r="BV54" s="56" t="str">
        <f t="shared" si="32"/>
        <v>x</v>
      </c>
      <c r="BW54" s="56" t="str">
        <f t="shared" si="32"/>
        <v>x</v>
      </c>
      <c r="BX54" s="56" t="str">
        <f t="shared" si="32"/>
        <v>x</v>
      </c>
      <c r="BY54" s="56" t="str">
        <f t="shared" si="32"/>
        <v>x</v>
      </c>
      <c r="BZ54" s="56" t="str">
        <f t="shared" si="35"/>
        <v>x</v>
      </c>
      <c r="CA54" s="56" t="str">
        <f t="shared" si="35"/>
        <v>x</v>
      </c>
      <c r="CB54" s="56" t="str">
        <f t="shared" si="35"/>
        <v>x</v>
      </c>
      <c r="CC54" s="56" t="str">
        <f t="shared" si="35"/>
        <v>x</v>
      </c>
      <c r="CD54" s="56" t="str">
        <f t="shared" si="35"/>
        <v>x</v>
      </c>
      <c r="CE54" s="56" t="str">
        <f t="shared" si="35"/>
        <v>x</v>
      </c>
      <c r="CF54" s="56" t="str">
        <f t="shared" si="35"/>
        <v>x</v>
      </c>
      <c r="CG54" s="56" t="str">
        <f t="shared" si="35"/>
        <v>x</v>
      </c>
      <c r="CH54" s="56" t="str">
        <f t="shared" si="35"/>
        <v>x</v>
      </c>
      <c r="CI54" s="56" t="str">
        <f t="shared" si="35"/>
        <v>--</v>
      </c>
      <c r="CJ54" s="56" t="str">
        <f t="shared" si="35"/>
        <v>x</v>
      </c>
      <c r="CK54" s="56" t="str">
        <f t="shared" si="35"/>
        <v>x</v>
      </c>
      <c r="CL54" s="56" t="str">
        <f t="shared" si="35"/>
        <v>x</v>
      </c>
      <c r="CM54" s="56" t="str">
        <f t="shared" si="35"/>
        <v>x</v>
      </c>
      <c r="CN54" s="56" t="str">
        <f t="shared" si="35"/>
        <v>x</v>
      </c>
      <c r="CO54" s="56" t="str">
        <f t="shared" si="35"/>
        <v>x</v>
      </c>
      <c r="CP54" s="56" t="str">
        <f t="shared" si="34"/>
        <v>x</v>
      </c>
      <c r="CQ54" s="56" t="str">
        <f t="shared" si="34"/>
        <v>x</v>
      </c>
      <c r="CR54" s="56" t="str">
        <f t="shared" si="34"/>
        <v>x</v>
      </c>
      <c r="CS54" s="56" t="str">
        <f t="shared" si="34"/>
        <v>x</v>
      </c>
      <c r="CT54" s="56" t="str">
        <f t="shared" si="34"/>
        <v>x</v>
      </c>
      <c r="CU54" s="56" t="str">
        <f t="shared" si="34"/>
        <v>x</v>
      </c>
      <c r="CV54" s="56" t="str">
        <f t="shared" si="34"/>
        <v>x</v>
      </c>
      <c r="CW54" s="56" t="str">
        <f t="shared" si="34"/>
        <v>x</v>
      </c>
      <c r="CX54" s="56" t="str">
        <f t="shared" si="34"/>
        <v>x</v>
      </c>
      <c r="CY54" s="56" t="str">
        <f t="shared" si="34"/>
        <v>x</v>
      </c>
      <c r="CZ54" s="56" t="str">
        <f t="shared" si="34"/>
        <v>x</v>
      </c>
      <c r="DA54" s="56" t="str">
        <f t="shared" si="34"/>
        <v>x</v>
      </c>
      <c r="DB54" s="56" t="str">
        <f t="shared" si="34"/>
        <v>x</v>
      </c>
      <c r="DC54" s="56" t="str">
        <f t="shared" si="34"/>
        <v>x</v>
      </c>
      <c r="DD54" s="56" t="str">
        <f t="shared" si="34"/>
        <v>x</v>
      </c>
      <c r="DE54" s="56" t="str">
        <f t="shared" si="30"/>
        <v>x</v>
      </c>
      <c r="DF54" s="56" t="str">
        <f t="shared" si="30"/>
        <v>x</v>
      </c>
      <c r="DG54" s="56" t="str">
        <f t="shared" si="30"/>
        <v>x</v>
      </c>
      <c r="DH54" s="56" t="str">
        <f t="shared" si="30"/>
        <v>x</v>
      </c>
      <c r="DI54" s="56" t="str">
        <f t="shared" si="30"/>
        <v>x</v>
      </c>
      <c r="DJ54" s="56" t="str">
        <f t="shared" si="30"/>
        <v>x</v>
      </c>
      <c r="DK54" s="56" t="str">
        <f t="shared" si="30"/>
        <v>x</v>
      </c>
      <c r="DL54" s="56" t="str">
        <f t="shared" si="29"/>
        <v>x</v>
      </c>
      <c r="DM54" s="56" t="str">
        <f t="shared" si="16"/>
        <v>x</v>
      </c>
      <c r="DN54" s="56" t="str">
        <f t="shared" si="16"/>
        <v>x</v>
      </c>
      <c r="DO54" s="56" t="str">
        <f t="shared" si="16"/>
        <v>x</v>
      </c>
    </row>
    <row r="55" spans="1:120" s="18" customFormat="1" ht="30.75" customHeight="1">
      <c r="A55" s="52"/>
      <c r="B55" s="30" t="s">
        <v>12</v>
      </c>
      <c r="C55" s="29" t="s">
        <v>321</v>
      </c>
      <c r="D55" s="130" t="s">
        <v>260</v>
      </c>
      <c r="E55" s="23" t="s">
        <v>174</v>
      </c>
      <c r="F55" s="36" t="s">
        <v>3</v>
      </c>
      <c r="G55" s="37"/>
      <c r="H55" s="37"/>
      <c r="I55" s="37"/>
      <c r="J55" s="119"/>
      <c r="K55" s="56" t="str">
        <f t="shared" si="38"/>
        <v>x</v>
      </c>
      <c r="L55" s="56" t="str">
        <f t="shared" si="38"/>
        <v>x</v>
      </c>
      <c r="M55" s="56" t="str">
        <f t="shared" si="38"/>
        <v>x</v>
      </c>
      <c r="N55" s="56" t="str">
        <f t="shared" si="38"/>
        <v>x</v>
      </c>
      <c r="O55" s="56" t="str">
        <f t="shared" si="38"/>
        <v>x</v>
      </c>
      <c r="P55" s="56" t="str">
        <f t="shared" si="38"/>
        <v>x</v>
      </c>
      <c r="Q55" s="56" t="str">
        <f t="shared" si="38"/>
        <v>x</v>
      </c>
      <c r="R55" s="56" t="str">
        <f t="shared" si="38"/>
        <v>x</v>
      </c>
      <c r="S55" s="56" t="str">
        <f t="shared" si="38"/>
        <v>x</v>
      </c>
      <c r="T55" s="56" t="str">
        <f t="shared" si="38"/>
        <v>x</v>
      </c>
      <c r="U55" s="56" t="str">
        <f t="shared" si="39"/>
        <v>x</v>
      </c>
      <c r="V55" s="56" t="str">
        <f t="shared" si="39"/>
        <v>x</v>
      </c>
      <c r="W55" s="56" t="str">
        <f t="shared" si="39"/>
        <v>x</v>
      </c>
      <c r="X55" s="56" t="str">
        <f t="shared" si="39"/>
        <v>x</v>
      </c>
      <c r="Y55" s="56" t="str">
        <f t="shared" si="39"/>
        <v>x</v>
      </c>
      <c r="Z55" s="56" t="str">
        <f t="shared" si="39"/>
        <v>x</v>
      </c>
      <c r="AA55" s="56" t="str">
        <f t="shared" si="39"/>
        <v>x</v>
      </c>
      <c r="AB55" s="56" t="str">
        <f t="shared" si="39"/>
        <v>x</v>
      </c>
      <c r="AC55" s="56" t="str">
        <f t="shared" si="39"/>
        <v>x</v>
      </c>
      <c r="AD55" s="56" t="str">
        <f t="shared" si="39"/>
        <v>x</v>
      </c>
      <c r="AE55" s="56" t="str">
        <f t="shared" si="41"/>
        <v>x</v>
      </c>
      <c r="AF55" s="56" t="str">
        <f t="shared" si="41"/>
        <v>x</v>
      </c>
      <c r="AG55" s="56" t="str">
        <f t="shared" si="41"/>
        <v>x</v>
      </c>
      <c r="AH55" s="56" t="str">
        <f t="shared" si="41"/>
        <v>x</v>
      </c>
      <c r="AI55" s="56" t="str">
        <f t="shared" si="41"/>
        <v>x</v>
      </c>
      <c r="AJ55" s="56" t="str">
        <f t="shared" si="41"/>
        <v>x</v>
      </c>
      <c r="AK55" s="56" t="str">
        <f t="shared" si="41"/>
        <v>x</v>
      </c>
      <c r="AL55" s="56" t="str">
        <f t="shared" si="41"/>
        <v>x</v>
      </c>
      <c r="AM55" s="56" t="str">
        <f t="shared" si="41"/>
        <v>x</v>
      </c>
      <c r="AN55" s="56" t="str">
        <f t="shared" si="41"/>
        <v>x</v>
      </c>
      <c r="AO55" s="56" t="str">
        <f t="shared" si="41"/>
        <v>x</v>
      </c>
      <c r="AP55" s="56" t="str">
        <f t="shared" si="41"/>
        <v>x</v>
      </c>
      <c r="AQ55" s="56" t="str">
        <f t="shared" si="41"/>
        <v>x</v>
      </c>
      <c r="AR55" s="56" t="str">
        <f t="shared" si="41"/>
        <v>x</v>
      </c>
      <c r="AS55" s="56" t="str">
        <f t="shared" si="41"/>
        <v>x</v>
      </c>
      <c r="AT55" s="56" t="str">
        <f t="shared" si="40"/>
        <v>x</v>
      </c>
      <c r="AU55" s="56" t="str">
        <f t="shared" si="40"/>
        <v>x</v>
      </c>
      <c r="AV55" s="56" t="str">
        <f t="shared" si="40"/>
        <v>x</v>
      </c>
      <c r="AW55" s="56" t="str">
        <f t="shared" si="40"/>
        <v>x</v>
      </c>
      <c r="AX55" s="56" t="str">
        <f t="shared" si="40"/>
        <v>x</v>
      </c>
      <c r="AY55" s="56" t="str">
        <f t="shared" si="40"/>
        <v>x</v>
      </c>
      <c r="AZ55" s="56" t="str">
        <f t="shared" si="40"/>
        <v>x</v>
      </c>
      <c r="BA55" s="56" t="str">
        <f t="shared" si="40"/>
        <v>x</v>
      </c>
      <c r="BB55" s="56" t="str">
        <f t="shared" si="40"/>
        <v>x</v>
      </c>
      <c r="BC55" s="56" t="str">
        <f t="shared" si="40"/>
        <v>x</v>
      </c>
      <c r="BD55" s="56" t="str">
        <f t="shared" si="40"/>
        <v>x</v>
      </c>
      <c r="BE55" s="56" t="str">
        <f t="shared" si="40"/>
        <v>x</v>
      </c>
      <c r="BF55" s="56" t="str">
        <f t="shared" si="40"/>
        <v>x</v>
      </c>
      <c r="BG55" s="56" t="str">
        <f t="shared" si="40"/>
        <v>x</v>
      </c>
      <c r="BH55" s="56" t="str">
        <f t="shared" si="40"/>
        <v>--</v>
      </c>
      <c r="BI55" s="56" t="str">
        <f t="shared" si="40"/>
        <v>x</v>
      </c>
      <c r="BJ55" s="56" t="str">
        <f t="shared" si="37"/>
        <v>x</v>
      </c>
      <c r="BK55" s="56" t="str">
        <f t="shared" si="36"/>
        <v>x</v>
      </c>
      <c r="BL55" s="56" t="str">
        <f t="shared" si="36"/>
        <v>x</v>
      </c>
      <c r="BM55" s="56" t="str">
        <f t="shared" si="36"/>
        <v>x</v>
      </c>
      <c r="BN55" s="56" t="str">
        <f t="shared" si="36"/>
        <v>x</v>
      </c>
      <c r="BO55" s="56" t="str">
        <f t="shared" si="33"/>
        <v>x</v>
      </c>
      <c r="BP55" s="56" t="str">
        <f t="shared" si="33"/>
        <v>x</v>
      </c>
      <c r="BQ55" s="56" t="str">
        <f t="shared" si="33"/>
        <v>x</v>
      </c>
      <c r="BR55" s="56" t="str">
        <f t="shared" si="33"/>
        <v>x</v>
      </c>
      <c r="BS55" s="56" t="str">
        <f t="shared" si="32"/>
        <v>x</v>
      </c>
      <c r="BT55" s="56" t="str">
        <f t="shared" si="32"/>
        <v>x</v>
      </c>
      <c r="BU55" s="56" t="str">
        <f t="shared" si="32"/>
        <v>x</v>
      </c>
      <c r="BV55" s="56" t="str">
        <f t="shared" si="32"/>
        <v>x</v>
      </c>
      <c r="BW55" s="56" t="str">
        <f t="shared" si="32"/>
        <v>x</v>
      </c>
      <c r="BX55" s="56" t="str">
        <f t="shared" si="32"/>
        <v>x</v>
      </c>
      <c r="BY55" s="56" t="str">
        <f t="shared" si="32"/>
        <v>x</v>
      </c>
      <c r="BZ55" s="56" t="str">
        <f t="shared" si="35"/>
        <v>x</v>
      </c>
      <c r="CA55" s="56" t="str">
        <f t="shared" si="35"/>
        <v>x</v>
      </c>
      <c r="CB55" s="56" t="str">
        <f t="shared" si="35"/>
        <v>x</v>
      </c>
      <c r="CC55" s="56" t="str">
        <f t="shared" si="35"/>
        <v>x</v>
      </c>
      <c r="CD55" s="56" t="str">
        <f t="shared" si="35"/>
        <v>x</v>
      </c>
      <c r="CE55" s="56" t="str">
        <f t="shared" si="35"/>
        <v>x</v>
      </c>
      <c r="CF55" s="56" t="str">
        <f t="shared" si="35"/>
        <v>x</v>
      </c>
      <c r="CG55" s="56" t="str">
        <f t="shared" si="35"/>
        <v>x</v>
      </c>
      <c r="CH55" s="56" t="str">
        <f t="shared" si="35"/>
        <v>x</v>
      </c>
      <c r="CI55" s="56" t="str">
        <f t="shared" si="35"/>
        <v>x</v>
      </c>
      <c r="CJ55" s="56" t="str">
        <f t="shared" si="35"/>
        <v>x</v>
      </c>
      <c r="CK55" s="56" t="str">
        <f t="shared" si="35"/>
        <v>x</v>
      </c>
      <c r="CL55" s="56" t="str">
        <f t="shared" si="35"/>
        <v>--</v>
      </c>
      <c r="CM55" s="56" t="str">
        <f t="shared" si="35"/>
        <v>x</v>
      </c>
      <c r="CN55" s="56" t="str">
        <f t="shared" si="35"/>
        <v>x</v>
      </c>
      <c r="CO55" s="56" t="str">
        <f t="shared" ref="CO55:DD68" si="42">IFERROR(IF(SEARCH(CO$5,$E55),$F55,"-"),"x")</f>
        <v>x</v>
      </c>
      <c r="CP55" s="56" t="str">
        <f t="shared" si="42"/>
        <v>x</v>
      </c>
      <c r="CQ55" s="56" t="str">
        <f t="shared" si="42"/>
        <v>x</v>
      </c>
      <c r="CR55" s="56" t="str">
        <f t="shared" si="42"/>
        <v>x</v>
      </c>
      <c r="CS55" s="56" t="str">
        <f t="shared" si="42"/>
        <v>x</v>
      </c>
      <c r="CT55" s="56" t="str">
        <f t="shared" si="42"/>
        <v>x</v>
      </c>
      <c r="CU55" s="56" t="str">
        <f t="shared" si="42"/>
        <v>x</v>
      </c>
      <c r="CV55" s="56" t="str">
        <f t="shared" si="42"/>
        <v>x</v>
      </c>
      <c r="CW55" s="56" t="str">
        <f t="shared" si="42"/>
        <v>x</v>
      </c>
      <c r="CX55" s="56" t="str">
        <f t="shared" si="42"/>
        <v>x</v>
      </c>
      <c r="CY55" s="56" t="str">
        <f t="shared" si="42"/>
        <v>x</v>
      </c>
      <c r="CZ55" s="56" t="str">
        <f t="shared" si="42"/>
        <v>x</v>
      </c>
      <c r="DA55" s="56" t="str">
        <f t="shared" si="42"/>
        <v>x</v>
      </c>
      <c r="DB55" s="56" t="str">
        <f t="shared" si="42"/>
        <v>x</v>
      </c>
      <c r="DC55" s="56" t="str">
        <f t="shared" si="42"/>
        <v>x</v>
      </c>
      <c r="DD55" s="56" t="str">
        <f t="shared" si="42"/>
        <v>x</v>
      </c>
      <c r="DE55" s="56" t="str">
        <f t="shared" si="30"/>
        <v>x</v>
      </c>
      <c r="DF55" s="56" t="str">
        <f t="shared" si="30"/>
        <v>x</v>
      </c>
      <c r="DG55" s="56" t="str">
        <f t="shared" si="30"/>
        <v>x</v>
      </c>
      <c r="DH55" s="56" t="str">
        <f t="shared" si="30"/>
        <v>x</v>
      </c>
      <c r="DI55" s="56" t="str">
        <f t="shared" si="30"/>
        <v>x</v>
      </c>
      <c r="DJ55" s="56" t="str">
        <f t="shared" si="30"/>
        <v>x</v>
      </c>
      <c r="DK55" s="56" t="str">
        <f t="shared" si="30"/>
        <v>x</v>
      </c>
      <c r="DL55" s="56" t="str">
        <f t="shared" si="29"/>
        <v>x</v>
      </c>
      <c r="DM55" s="56" t="str">
        <f t="shared" si="16"/>
        <v>x</v>
      </c>
      <c r="DN55" s="56" t="str">
        <f t="shared" si="16"/>
        <v>x</v>
      </c>
      <c r="DO55" s="56" t="str">
        <f t="shared" si="16"/>
        <v>x</v>
      </c>
    </row>
    <row r="56" spans="1:120" s="15" customFormat="1" ht="46.5" customHeight="1" thickBot="1">
      <c r="A56" s="52" t="s">
        <v>322</v>
      </c>
      <c r="B56" s="30" t="s">
        <v>122</v>
      </c>
      <c r="C56" s="29" t="s">
        <v>323</v>
      </c>
      <c r="D56" s="130" t="s">
        <v>261</v>
      </c>
      <c r="E56" s="23" t="s">
        <v>169</v>
      </c>
      <c r="F56" s="36" t="s">
        <v>3</v>
      </c>
      <c r="G56" s="37"/>
      <c r="H56" s="37">
        <v>14</v>
      </c>
      <c r="I56" s="37"/>
      <c r="J56" s="119"/>
      <c r="K56" s="56" t="str">
        <f t="shared" si="38"/>
        <v>x</v>
      </c>
      <c r="L56" s="56" t="str">
        <f t="shared" si="38"/>
        <v>x</v>
      </c>
      <c r="M56" s="56" t="str">
        <f t="shared" si="38"/>
        <v>x</v>
      </c>
      <c r="N56" s="56" t="str">
        <f t="shared" si="38"/>
        <v>x</v>
      </c>
      <c r="O56" s="56" t="str">
        <f t="shared" si="38"/>
        <v>x</v>
      </c>
      <c r="P56" s="56" t="str">
        <f t="shared" si="38"/>
        <v>x</v>
      </c>
      <c r="Q56" s="56" t="str">
        <f t="shared" si="38"/>
        <v>x</v>
      </c>
      <c r="R56" s="56" t="str">
        <f t="shared" si="38"/>
        <v>x</v>
      </c>
      <c r="S56" s="56" t="str">
        <f t="shared" si="38"/>
        <v>x</v>
      </c>
      <c r="T56" s="56" t="str">
        <f t="shared" si="38"/>
        <v>x</v>
      </c>
      <c r="U56" s="56" t="str">
        <f t="shared" si="39"/>
        <v>x</v>
      </c>
      <c r="V56" s="56" t="str">
        <f t="shared" si="39"/>
        <v>x</v>
      </c>
      <c r="W56" s="56" t="str">
        <f t="shared" si="39"/>
        <v>x</v>
      </c>
      <c r="X56" s="56" t="str">
        <f t="shared" si="39"/>
        <v>x</v>
      </c>
      <c r="Y56" s="56" t="str">
        <f t="shared" si="39"/>
        <v>x</v>
      </c>
      <c r="Z56" s="56" t="str">
        <f t="shared" si="39"/>
        <v>x</v>
      </c>
      <c r="AA56" s="56" t="str">
        <f t="shared" si="39"/>
        <v>x</v>
      </c>
      <c r="AB56" s="56" t="str">
        <f t="shared" si="39"/>
        <v>x</v>
      </c>
      <c r="AC56" s="56" t="str">
        <f t="shared" si="39"/>
        <v>x</v>
      </c>
      <c r="AD56" s="56" t="str">
        <f t="shared" si="39"/>
        <v>x</v>
      </c>
      <c r="AE56" s="56" t="str">
        <f t="shared" si="41"/>
        <v>x</v>
      </c>
      <c r="AF56" s="56" t="str">
        <f t="shared" si="41"/>
        <v>x</v>
      </c>
      <c r="AG56" s="56" t="str">
        <f t="shared" si="41"/>
        <v>x</v>
      </c>
      <c r="AH56" s="56" t="str">
        <f t="shared" si="41"/>
        <v>x</v>
      </c>
      <c r="AI56" s="56" t="str">
        <f t="shared" si="41"/>
        <v>x</v>
      </c>
      <c r="AJ56" s="56" t="str">
        <f t="shared" si="41"/>
        <v>x</v>
      </c>
      <c r="AK56" s="56" t="str">
        <f t="shared" si="41"/>
        <v>x</v>
      </c>
      <c r="AL56" s="56" t="str">
        <f t="shared" si="41"/>
        <v>x</v>
      </c>
      <c r="AM56" s="56" t="str">
        <f t="shared" si="41"/>
        <v>x</v>
      </c>
      <c r="AN56" s="56" t="str">
        <f t="shared" si="41"/>
        <v>x</v>
      </c>
      <c r="AO56" s="56" t="str">
        <f t="shared" si="41"/>
        <v>x</v>
      </c>
      <c r="AP56" s="56" t="str">
        <f t="shared" si="41"/>
        <v>x</v>
      </c>
      <c r="AQ56" s="56" t="str">
        <f t="shared" si="41"/>
        <v>x</v>
      </c>
      <c r="AR56" s="56" t="str">
        <f t="shared" si="41"/>
        <v>x</v>
      </c>
      <c r="AS56" s="56" t="str">
        <f t="shared" si="41"/>
        <v>x</v>
      </c>
      <c r="AT56" s="56" t="str">
        <f t="shared" si="40"/>
        <v>x</v>
      </c>
      <c r="AU56" s="56" t="str">
        <f t="shared" si="40"/>
        <v>x</v>
      </c>
      <c r="AV56" s="56" t="str">
        <f t="shared" si="40"/>
        <v>x</v>
      </c>
      <c r="AW56" s="56" t="str">
        <f t="shared" si="40"/>
        <v>x</v>
      </c>
      <c r="AX56" s="56" t="str">
        <f t="shared" si="40"/>
        <v>x</v>
      </c>
      <c r="AY56" s="56" t="str">
        <f t="shared" si="40"/>
        <v>x</v>
      </c>
      <c r="AZ56" s="56" t="str">
        <f t="shared" si="40"/>
        <v>x</v>
      </c>
      <c r="BA56" s="56" t="str">
        <f t="shared" si="40"/>
        <v>x</v>
      </c>
      <c r="BB56" s="56" t="str">
        <f t="shared" si="40"/>
        <v>x</v>
      </c>
      <c r="BC56" s="56" t="str">
        <f t="shared" si="40"/>
        <v>x</v>
      </c>
      <c r="BD56" s="56" t="str">
        <f t="shared" si="40"/>
        <v>x</v>
      </c>
      <c r="BE56" s="56" t="str">
        <f t="shared" si="40"/>
        <v>x</v>
      </c>
      <c r="BF56" s="56" t="str">
        <f t="shared" si="40"/>
        <v>x</v>
      </c>
      <c r="BG56" s="56" t="str">
        <f t="shared" si="40"/>
        <v>x</v>
      </c>
      <c r="BH56" s="56" t="str">
        <f t="shared" si="40"/>
        <v>x</v>
      </c>
      <c r="BI56" s="56" t="str">
        <f t="shared" si="40"/>
        <v>--</v>
      </c>
      <c r="BJ56" s="56" t="str">
        <f t="shared" si="37"/>
        <v>x</v>
      </c>
      <c r="BK56" s="56" t="str">
        <f t="shared" si="36"/>
        <v>x</v>
      </c>
      <c r="BL56" s="56" t="str">
        <f t="shared" si="36"/>
        <v>x</v>
      </c>
      <c r="BM56" s="56" t="str">
        <f t="shared" si="36"/>
        <v>x</v>
      </c>
      <c r="BN56" s="56" t="str">
        <f t="shared" si="36"/>
        <v>x</v>
      </c>
      <c r="BO56" s="56" t="str">
        <f t="shared" si="33"/>
        <v>x</v>
      </c>
      <c r="BP56" s="56" t="str">
        <f t="shared" si="33"/>
        <v>x</v>
      </c>
      <c r="BQ56" s="56" t="str">
        <f t="shared" si="33"/>
        <v>x</v>
      </c>
      <c r="BR56" s="56" t="str">
        <f t="shared" si="33"/>
        <v>x</v>
      </c>
      <c r="BS56" s="56" t="str">
        <f t="shared" si="32"/>
        <v>x</v>
      </c>
      <c r="BT56" s="56" t="str">
        <f t="shared" si="32"/>
        <v>x</v>
      </c>
      <c r="BU56" s="56" t="str">
        <f t="shared" si="32"/>
        <v>x</v>
      </c>
      <c r="BV56" s="56" t="str">
        <f t="shared" si="32"/>
        <v>x</v>
      </c>
      <c r="BW56" s="56" t="str">
        <f t="shared" si="32"/>
        <v>x</v>
      </c>
      <c r="BX56" s="56" t="str">
        <f t="shared" si="32"/>
        <v>x</v>
      </c>
      <c r="BY56" s="56" t="str">
        <f t="shared" si="32"/>
        <v>x</v>
      </c>
      <c r="BZ56" s="56" t="str">
        <f t="shared" ref="BZ56:CO68" si="43">IFERROR(IF(SEARCH(BZ$5,$E56),$F56,"-"),"x")</f>
        <v>x</v>
      </c>
      <c r="CA56" s="56" t="str">
        <f t="shared" si="43"/>
        <v>x</v>
      </c>
      <c r="CB56" s="56" t="str">
        <f t="shared" si="43"/>
        <v>x</v>
      </c>
      <c r="CC56" s="56" t="str">
        <f t="shared" si="43"/>
        <v>x</v>
      </c>
      <c r="CD56" s="56" t="str">
        <f t="shared" si="43"/>
        <v>x</v>
      </c>
      <c r="CE56" s="56" t="str">
        <f t="shared" si="43"/>
        <v>x</v>
      </c>
      <c r="CF56" s="56" t="str">
        <f t="shared" si="43"/>
        <v>x</v>
      </c>
      <c r="CG56" s="56" t="str">
        <f t="shared" si="43"/>
        <v>--</v>
      </c>
      <c r="CH56" s="56" t="str">
        <f t="shared" si="43"/>
        <v>x</v>
      </c>
      <c r="CI56" s="56" t="str">
        <f t="shared" si="43"/>
        <v>x</v>
      </c>
      <c r="CJ56" s="56" t="str">
        <f t="shared" si="43"/>
        <v>x</v>
      </c>
      <c r="CK56" s="56" t="str">
        <f t="shared" si="43"/>
        <v>x</v>
      </c>
      <c r="CL56" s="56" t="str">
        <f t="shared" si="43"/>
        <v>x</v>
      </c>
      <c r="CM56" s="56" t="str">
        <f t="shared" si="43"/>
        <v>x</v>
      </c>
      <c r="CN56" s="56" t="str">
        <f t="shared" si="43"/>
        <v>x</v>
      </c>
      <c r="CO56" s="56" t="str">
        <f t="shared" si="43"/>
        <v>x</v>
      </c>
      <c r="CP56" s="56" t="str">
        <f t="shared" si="42"/>
        <v>x</v>
      </c>
      <c r="CQ56" s="56" t="str">
        <f t="shared" si="42"/>
        <v>x</v>
      </c>
      <c r="CR56" s="56" t="str">
        <f t="shared" si="42"/>
        <v>x</v>
      </c>
      <c r="CS56" s="56" t="str">
        <f t="shared" si="42"/>
        <v>x</v>
      </c>
      <c r="CT56" s="56" t="str">
        <f t="shared" si="42"/>
        <v>x</v>
      </c>
      <c r="CU56" s="56" t="str">
        <f t="shared" si="42"/>
        <v>x</v>
      </c>
      <c r="CV56" s="56" t="str">
        <f t="shared" si="42"/>
        <v>x</v>
      </c>
      <c r="CW56" s="56" t="str">
        <f t="shared" si="42"/>
        <v>x</v>
      </c>
      <c r="CX56" s="56" t="str">
        <f t="shared" si="42"/>
        <v>x</v>
      </c>
      <c r="CY56" s="56" t="str">
        <f t="shared" si="42"/>
        <v>x</v>
      </c>
      <c r="CZ56" s="56" t="str">
        <f t="shared" si="42"/>
        <v>x</v>
      </c>
      <c r="DA56" s="56" t="str">
        <f t="shared" si="42"/>
        <v>x</v>
      </c>
      <c r="DB56" s="56" t="str">
        <f t="shared" si="42"/>
        <v>x</v>
      </c>
      <c r="DC56" s="56" t="str">
        <f t="shared" si="42"/>
        <v>x</v>
      </c>
      <c r="DD56" s="56" t="str">
        <f t="shared" si="42"/>
        <v>x</v>
      </c>
      <c r="DE56" s="56" t="str">
        <f t="shared" si="30"/>
        <v>x</v>
      </c>
      <c r="DF56" s="56" t="str">
        <f t="shared" si="30"/>
        <v>x</v>
      </c>
      <c r="DG56" s="56" t="str">
        <f t="shared" si="30"/>
        <v>x</v>
      </c>
      <c r="DH56" s="56" t="str">
        <f t="shared" si="30"/>
        <v>x</v>
      </c>
      <c r="DI56" s="56" t="str">
        <f t="shared" si="30"/>
        <v>x</v>
      </c>
      <c r="DJ56" s="56" t="str">
        <f t="shared" si="30"/>
        <v>x</v>
      </c>
      <c r="DK56" s="56" t="str">
        <f t="shared" si="30"/>
        <v>x</v>
      </c>
      <c r="DL56" s="56" t="str">
        <f t="shared" si="29"/>
        <v>x</v>
      </c>
      <c r="DM56" s="56" t="str">
        <f t="shared" si="16"/>
        <v>x</v>
      </c>
      <c r="DN56" s="56" t="str">
        <f t="shared" si="16"/>
        <v>x</v>
      </c>
      <c r="DO56" s="56" t="str">
        <f t="shared" si="16"/>
        <v>x</v>
      </c>
    </row>
    <row r="57" spans="1:120" s="18" customFormat="1" ht="33" customHeight="1">
      <c r="A57" s="52"/>
      <c r="B57" s="30" t="s">
        <v>123</v>
      </c>
      <c r="C57" s="29" t="s">
        <v>324</v>
      </c>
      <c r="D57" s="130" t="s">
        <v>262</v>
      </c>
      <c r="E57" s="23" t="s">
        <v>169</v>
      </c>
      <c r="F57" s="36" t="s">
        <v>3</v>
      </c>
      <c r="G57" s="37"/>
      <c r="H57" s="37">
        <v>14</v>
      </c>
      <c r="I57" s="37"/>
      <c r="J57" s="119"/>
      <c r="K57" s="56" t="str">
        <f t="shared" si="38"/>
        <v>x</v>
      </c>
      <c r="L57" s="56" t="str">
        <f t="shared" si="38"/>
        <v>x</v>
      </c>
      <c r="M57" s="56" t="str">
        <f t="shared" si="38"/>
        <v>x</v>
      </c>
      <c r="N57" s="56" t="str">
        <f t="shared" si="38"/>
        <v>x</v>
      </c>
      <c r="O57" s="56" t="str">
        <f t="shared" si="38"/>
        <v>x</v>
      </c>
      <c r="P57" s="56" t="str">
        <f t="shared" si="38"/>
        <v>x</v>
      </c>
      <c r="Q57" s="56" t="str">
        <f t="shared" si="38"/>
        <v>x</v>
      </c>
      <c r="R57" s="56" t="str">
        <f t="shared" si="38"/>
        <v>x</v>
      </c>
      <c r="S57" s="56" t="str">
        <f t="shared" si="38"/>
        <v>x</v>
      </c>
      <c r="T57" s="56" t="str">
        <f t="shared" si="38"/>
        <v>x</v>
      </c>
      <c r="U57" s="56" t="str">
        <f t="shared" si="39"/>
        <v>x</v>
      </c>
      <c r="V57" s="56" t="str">
        <f t="shared" si="39"/>
        <v>x</v>
      </c>
      <c r="W57" s="56" t="str">
        <f t="shared" si="39"/>
        <v>x</v>
      </c>
      <c r="X57" s="56" t="str">
        <f t="shared" si="39"/>
        <v>x</v>
      </c>
      <c r="Y57" s="56" t="str">
        <f t="shared" si="39"/>
        <v>x</v>
      </c>
      <c r="Z57" s="56" t="str">
        <f t="shared" si="39"/>
        <v>x</v>
      </c>
      <c r="AA57" s="56" t="str">
        <f t="shared" si="39"/>
        <v>x</v>
      </c>
      <c r="AB57" s="56" t="str">
        <f t="shared" si="39"/>
        <v>x</v>
      </c>
      <c r="AC57" s="56" t="str">
        <f t="shared" si="39"/>
        <v>x</v>
      </c>
      <c r="AD57" s="56" t="str">
        <f t="shared" si="39"/>
        <v>x</v>
      </c>
      <c r="AE57" s="56" t="str">
        <f t="shared" si="41"/>
        <v>x</v>
      </c>
      <c r="AF57" s="56" t="str">
        <f t="shared" si="41"/>
        <v>x</v>
      </c>
      <c r="AG57" s="56" t="str">
        <f t="shared" si="41"/>
        <v>x</v>
      </c>
      <c r="AH57" s="56" t="str">
        <f t="shared" si="41"/>
        <v>x</v>
      </c>
      <c r="AI57" s="56" t="str">
        <f t="shared" si="41"/>
        <v>x</v>
      </c>
      <c r="AJ57" s="56" t="str">
        <f t="shared" si="41"/>
        <v>x</v>
      </c>
      <c r="AK57" s="56" t="str">
        <f t="shared" si="41"/>
        <v>x</v>
      </c>
      <c r="AL57" s="56" t="str">
        <f t="shared" si="41"/>
        <v>x</v>
      </c>
      <c r="AM57" s="56" t="str">
        <f t="shared" si="41"/>
        <v>x</v>
      </c>
      <c r="AN57" s="56" t="str">
        <f t="shared" si="41"/>
        <v>x</v>
      </c>
      <c r="AO57" s="56" t="str">
        <f t="shared" si="41"/>
        <v>x</v>
      </c>
      <c r="AP57" s="56" t="str">
        <f t="shared" si="41"/>
        <v>x</v>
      </c>
      <c r="AQ57" s="56" t="str">
        <f t="shared" si="41"/>
        <v>x</v>
      </c>
      <c r="AR57" s="56" t="str">
        <f t="shared" si="41"/>
        <v>x</v>
      </c>
      <c r="AS57" s="56" t="str">
        <f t="shared" si="41"/>
        <v>x</v>
      </c>
      <c r="AT57" s="56" t="str">
        <f t="shared" si="40"/>
        <v>x</v>
      </c>
      <c r="AU57" s="56" t="str">
        <f t="shared" si="40"/>
        <v>x</v>
      </c>
      <c r="AV57" s="56" t="str">
        <f t="shared" si="40"/>
        <v>x</v>
      </c>
      <c r="AW57" s="56" t="str">
        <f t="shared" si="40"/>
        <v>x</v>
      </c>
      <c r="AX57" s="56" t="str">
        <f t="shared" si="40"/>
        <v>x</v>
      </c>
      <c r="AY57" s="56" t="str">
        <f t="shared" si="40"/>
        <v>x</v>
      </c>
      <c r="AZ57" s="56" t="str">
        <f t="shared" si="40"/>
        <v>x</v>
      </c>
      <c r="BA57" s="56" t="str">
        <f t="shared" si="40"/>
        <v>x</v>
      </c>
      <c r="BB57" s="56" t="str">
        <f t="shared" si="40"/>
        <v>x</v>
      </c>
      <c r="BC57" s="56" t="str">
        <f t="shared" si="40"/>
        <v>x</v>
      </c>
      <c r="BD57" s="56" t="str">
        <f t="shared" si="40"/>
        <v>x</v>
      </c>
      <c r="BE57" s="56" t="str">
        <f t="shared" si="40"/>
        <v>x</v>
      </c>
      <c r="BF57" s="56" t="str">
        <f t="shared" si="40"/>
        <v>x</v>
      </c>
      <c r="BG57" s="56" t="str">
        <f t="shared" si="40"/>
        <v>x</v>
      </c>
      <c r="BH57" s="56" t="str">
        <f t="shared" si="40"/>
        <v>x</v>
      </c>
      <c r="BI57" s="56" t="str">
        <f t="shared" si="40"/>
        <v>x</v>
      </c>
      <c r="BJ57" s="56" t="str">
        <f t="shared" si="37"/>
        <v>--</v>
      </c>
      <c r="BK57" s="56" t="str">
        <f t="shared" si="36"/>
        <v>x</v>
      </c>
      <c r="BL57" s="56" t="str">
        <f t="shared" si="36"/>
        <v>x</v>
      </c>
      <c r="BM57" s="56" t="str">
        <f t="shared" si="36"/>
        <v>x</v>
      </c>
      <c r="BN57" s="56" t="str">
        <f t="shared" si="36"/>
        <v>x</v>
      </c>
      <c r="BO57" s="56" t="str">
        <f t="shared" si="33"/>
        <v>x</v>
      </c>
      <c r="BP57" s="56" t="str">
        <f t="shared" si="33"/>
        <v>x</v>
      </c>
      <c r="BQ57" s="56" t="str">
        <f t="shared" si="33"/>
        <v>x</v>
      </c>
      <c r="BR57" s="56" t="str">
        <f t="shared" si="33"/>
        <v>x</v>
      </c>
      <c r="BS57" s="56" t="str">
        <f t="shared" si="32"/>
        <v>x</v>
      </c>
      <c r="BT57" s="56" t="str">
        <f t="shared" si="32"/>
        <v>x</v>
      </c>
      <c r="BU57" s="56" t="str">
        <f t="shared" si="32"/>
        <v>x</v>
      </c>
      <c r="BV57" s="56" t="str">
        <f t="shared" si="32"/>
        <v>x</v>
      </c>
      <c r="BW57" s="56" t="str">
        <f t="shared" si="32"/>
        <v>x</v>
      </c>
      <c r="BX57" s="56" t="str">
        <f t="shared" si="32"/>
        <v>x</v>
      </c>
      <c r="BY57" s="56" t="str">
        <f t="shared" si="32"/>
        <v>x</v>
      </c>
      <c r="BZ57" s="56" t="str">
        <f t="shared" si="43"/>
        <v>x</v>
      </c>
      <c r="CA57" s="56" t="str">
        <f t="shared" si="43"/>
        <v>x</v>
      </c>
      <c r="CB57" s="56" t="str">
        <f t="shared" si="43"/>
        <v>x</v>
      </c>
      <c r="CC57" s="56" t="str">
        <f t="shared" si="43"/>
        <v>x</v>
      </c>
      <c r="CD57" s="56" t="str">
        <f t="shared" si="43"/>
        <v>x</v>
      </c>
      <c r="CE57" s="56" t="str">
        <f t="shared" si="43"/>
        <v>x</v>
      </c>
      <c r="CF57" s="56" t="str">
        <f t="shared" si="43"/>
        <v>x</v>
      </c>
      <c r="CG57" s="56" t="str">
        <f t="shared" si="43"/>
        <v>--</v>
      </c>
      <c r="CH57" s="56" t="str">
        <f t="shared" si="43"/>
        <v>x</v>
      </c>
      <c r="CI57" s="56" t="str">
        <f t="shared" si="43"/>
        <v>x</v>
      </c>
      <c r="CJ57" s="56" t="str">
        <f t="shared" si="43"/>
        <v>x</v>
      </c>
      <c r="CK57" s="56" t="str">
        <f t="shared" si="43"/>
        <v>x</v>
      </c>
      <c r="CL57" s="56" t="str">
        <f t="shared" si="43"/>
        <v>x</v>
      </c>
      <c r="CM57" s="56" t="str">
        <f t="shared" si="43"/>
        <v>x</v>
      </c>
      <c r="CN57" s="56" t="str">
        <f t="shared" si="43"/>
        <v>x</v>
      </c>
      <c r="CO57" s="56" t="str">
        <f t="shared" si="43"/>
        <v>x</v>
      </c>
      <c r="CP57" s="56" t="str">
        <f t="shared" si="42"/>
        <v>x</v>
      </c>
      <c r="CQ57" s="56" t="str">
        <f t="shared" si="42"/>
        <v>x</v>
      </c>
      <c r="CR57" s="56" t="str">
        <f t="shared" si="42"/>
        <v>x</v>
      </c>
      <c r="CS57" s="56" t="str">
        <f t="shared" si="42"/>
        <v>x</v>
      </c>
      <c r="CT57" s="56" t="str">
        <f t="shared" si="42"/>
        <v>x</v>
      </c>
      <c r="CU57" s="56" t="str">
        <f t="shared" si="42"/>
        <v>x</v>
      </c>
      <c r="CV57" s="56" t="str">
        <f t="shared" si="42"/>
        <v>x</v>
      </c>
      <c r="CW57" s="56" t="str">
        <f t="shared" si="42"/>
        <v>x</v>
      </c>
      <c r="CX57" s="56" t="str">
        <f t="shared" si="42"/>
        <v>x</v>
      </c>
      <c r="CY57" s="56" t="str">
        <f t="shared" si="42"/>
        <v>x</v>
      </c>
      <c r="CZ57" s="56" t="str">
        <f t="shared" si="42"/>
        <v>x</v>
      </c>
      <c r="DA57" s="56" t="str">
        <f t="shared" si="42"/>
        <v>x</v>
      </c>
      <c r="DB57" s="56" t="str">
        <f t="shared" si="42"/>
        <v>x</v>
      </c>
      <c r="DC57" s="56" t="str">
        <f t="shared" si="42"/>
        <v>x</v>
      </c>
      <c r="DD57" s="56" t="str">
        <f t="shared" si="42"/>
        <v>x</v>
      </c>
      <c r="DE57" s="56" t="str">
        <f t="shared" si="30"/>
        <v>x</v>
      </c>
      <c r="DF57" s="56" t="str">
        <f t="shared" ref="DF57:DL57" si="44">IFERROR(IF(SEARCH(DF$5,$E57),$F57,"-"),"x")</f>
        <v>x</v>
      </c>
      <c r="DG57" s="56" t="str">
        <f t="shared" si="44"/>
        <v>x</v>
      </c>
      <c r="DH57" s="56" t="str">
        <f t="shared" si="44"/>
        <v>x</v>
      </c>
      <c r="DI57" s="56" t="str">
        <f t="shared" si="44"/>
        <v>x</v>
      </c>
      <c r="DJ57" s="56" t="str">
        <f t="shared" si="44"/>
        <v>x</v>
      </c>
      <c r="DK57" s="56" t="str">
        <f t="shared" si="44"/>
        <v>x</v>
      </c>
      <c r="DL57" s="56" t="str">
        <f t="shared" si="44"/>
        <v>x</v>
      </c>
      <c r="DM57" s="56" t="str">
        <f t="shared" si="16"/>
        <v>x</v>
      </c>
      <c r="DN57" s="56" t="str">
        <f t="shared" si="16"/>
        <v>x</v>
      </c>
      <c r="DO57" s="56" t="str">
        <f t="shared" si="16"/>
        <v>x</v>
      </c>
    </row>
    <row r="58" spans="1:120" ht="64.5" customHeight="1">
      <c r="A58" s="52"/>
      <c r="B58" s="30" t="s">
        <v>12</v>
      </c>
      <c r="C58" s="29" t="s">
        <v>325</v>
      </c>
      <c r="D58" s="130" t="s">
        <v>263</v>
      </c>
      <c r="E58" s="23" t="s">
        <v>169</v>
      </c>
      <c r="F58" s="36" t="s">
        <v>3</v>
      </c>
      <c r="G58" s="37"/>
      <c r="H58" s="37">
        <v>14</v>
      </c>
      <c r="I58" s="37"/>
      <c r="J58" s="119"/>
      <c r="K58" s="56" t="str">
        <f t="shared" si="38"/>
        <v>x</v>
      </c>
      <c r="L58" s="56" t="str">
        <f t="shared" si="38"/>
        <v>x</v>
      </c>
      <c r="M58" s="56" t="str">
        <f t="shared" si="38"/>
        <v>x</v>
      </c>
      <c r="N58" s="56" t="str">
        <f t="shared" si="38"/>
        <v>x</v>
      </c>
      <c r="O58" s="56" t="str">
        <f t="shared" si="38"/>
        <v>x</v>
      </c>
      <c r="P58" s="56" t="str">
        <f t="shared" si="38"/>
        <v>x</v>
      </c>
      <c r="Q58" s="56" t="str">
        <f t="shared" si="38"/>
        <v>x</v>
      </c>
      <c r="R58" s="56" t="str">
        <f t="shared" si="38"/>
        <v>x</v>
      </c>
      <c r="S58" s="56" t="str">
        <f t="shared" si="38"/>
        <v>x</v>
      </c>
      <c r="T58" s="56" t="str">
        <f t="shared" si="38"/>
        <v>x</v>
      </c>
      <c r="U58" s="56" t="str">
        <f t="shared" si="39"/>
        <v>x</v>
      </c>
      <c r="V58" s="56" t="str">
        <f t="shared" si="39"/>
        <v>x</v>
      </c>
      <c r="W58" s="56" t="str">
        <f t="shared" si="39"/>
        <v>x</v>
      </c>
      <c r="X58" s="56" t="str">
        <f t="shared" si="39"/>
        <v>x</v>
      </c>
      <c r="Y58" s="56" t="str">
        <f t="shared" si="39"/>
        <v>x</v>
      </c>
      <c r="Z58" s="56" t="str">
        <f t="shared" si="39"/>
        <v>x</v>
      </c>
      <c r="AA58" s="56" t="str">
        <f t="shared" si="39"/>
        <v>x</v>
      </c>
      <c r="AB58" s="56" t="str">
        <f t="shared" si="39"/>
        <v>x</v>
      </c>
      <c r="AC58" s="56" t="str">
        <f t="shared" si="39"/>
        <v>x</v>
      </c>
      <c r="AD58" s="56" t="str">
        <f t="shared" si="39"/>
        <v>x</v>
      </c>
      <c r="AE58" s="56" t="str">
        <f t="shared" si="41"/>
        <v>x</v>
      </c>
      <c r="AF58" s="56" t="str">
        <f t="shared" si="41"/>
        <v>x</v>
      </c>
      <c r="AG58" s="56" t="str">
        <f t="shared" si="41"/>
        <v>x</v>
      </c>
      <c r="AH58" s="56" t="str">
        <f t="shared" si="41"/>
        <v>x</v>
      </c>
      <c r="AI58" s="56" t="str">
        <f t="shared" si="41"/>
        <v>x</v>
      </c>
      <c r="AJ58" s="56" t="str">
        <f t="shared" si="41"/>
        <v>x</v>
      </c>
      <c r="AK58" s="56" t="str">
        <f t="shared" si="41"/>
        <v>x</v>
      </c>
      <c r="AL58" s="56" t="str">
        <f t="shared" si="41"/>
        <v>x</v>
      </c>
      <c r="AM58" s="56" t="str">
        <f t="shared" si="41"/>
        <v>x</v>
      </c>
      <c r="AN58" s="56" t="str">
        <f t="shared" si="41"/>
        <v>x</v>
      </c>
      <c r="AO58" s="56" t="str">
        <f t="shared" si="41"/>
        <v>x</v>
      </c>
      <c r="AP58" s="56" t="str">
        <f t="shared" si="41"/>
        <v>x</v>
      </c>
      <c r="AQ58" s="56" t="str">
        <f t="shared" si="41"/>
        <v>x</v>
      </c>
      <c r="AR58" s="56" t="str">
        <f t="shared" si="41"/>
        <v>x</v>
      </c>
      <c r="AS58" s="56" t="str">
        <f t="shared" si="41"/>
        <v>x</v>
      </c>
      <c r="AT58" s="56" t="str">
        <f t="shared" si="40"/>
        <v>x</v>
      </c>
      <c r="AU58" s="56" t="str">
        <f t="shared" si="40"/>
        <v>x</v>
      </c>
      <c r="AV58" s="56" t="str">
        <f t="shared" si="40"/>
        <v>x</v>
      </c>
      <c r="AW58" s="56" t="str">
        <f t="shared" si="40"/>
        <v>x</v>
      </c>
      <c r="AX58" s="56" t="str">
        <f t="shared" si="40"/>
        <v>x</v>
      </c>
      <c r="AY58" s="56" t="str">
        <f t="shared" si="40"/>
        <v>x</v>
      </c>
      <c r="AZ58" s="56" t="str">
        <f t="shared" si="40"/>
        <v>x</v>
      </c>
      <c r="BA58" s="56" t="str">
        <f t="shared" si="40"/>
        <v>x</v>
      </c>
      <c r="BB58" s="56" t="str">
        <f t="shared" si="40"/>
        <v>x</v>
      </c>
      <c r="BC58" s="56" t="str">
        <f t="shared" si="40"/>
        <v>x</v>
      </c>
      <c r="BD58" s="56" t="str">
        <f t="shared" si="40"/>
        <v>x</v>
      </c>
      <c r="BE58" s="56" t="str">
        <f t="shared" si="40"/>
        <v>x</v>
      </c>
      <c r="BF58" s="56" t="str">
        <f t="shared" si="40"/>
        <v>x</v>
      </c>
      <c r="BG58" s="56" t="str">
        <f t="shared" si="40"/>
        <v>x</v>
      </c>
      <c r="BH58" s="56" t="str">
        <f t="shared" si="40"/>
        <v>x</v>
      </c>
      <c r="BI58" s="56" t="str">
        <f t="shared" si="40"/>
        <v>x</v>
      </c>
      <c r="BJ58" s="56" t="str">
        <f t="shared" si="37"/>
        <v>x</v>
      </c>
      <c r="BK58" s="56" t="str">
        <f t="shared" si="36"/>
        <v>--</v>
      </c>
      <c r="BL58" s="56" t="str">
        <f t="shared" si="36"/>
        <v>x</v>
      </c>
      <c r="BM58" s="56" t="str">
        <f t="shared" si="36"/>
        <v>x</v>
      </c>
      <c r="BN58" s="56" t="str">
        <f t="shared" si="36"/>
        <v>x</v>
      </c>
      <c r="BO58" s="56" t="str">
        <f t="shared" si="33"/>
        <v>x</v>
      </c>
      <c r="BP58" s="56" t="str">
        <f t="shared" si="33"/>
        <v>x</v>
      </c>
      <c r="BQ58" s="56" t="str">
        <f t="shared" si="33"/>
        <v>x</v>
      </c>
      <c r="BR58" s="56" t="str">
        <f t="shared" si="33"/>
        <v>x</v>
      </c>
      <c r="BS58" s="56" t="str">
        <f t="shared" si="32"/>
        <v>x</v>
      </c>
      <c r="BT58" s="56" t="str">
        <f t="shared" si="32"/>
        <v>x</v>
      </c>
      <c r="BU58" s="56" t="str">
        <f t="shared" si="32"/>
        <v>x</v>
      </c>
      <c r="BV58" s="56" t="str">
        <f t="shared" si="32"/>
        <v>x</v>
      </c>
      <c r="BW58" s="56" t="str">
        <f t="shared" si="32"/>
        <v>x</v>
      </c>
      <c r="BX58" s="56" t="str">
        <f t="shared" si="32"/>
        <v>x</v>
      </c>
      <c r="BY58" s="56" t="str">
        <f t="shared" si="32"/>
        <v>x</v>
      </c>
      <c r="BZ58" s="56" t="str">
        <f t="shared" si="43"/>
        <v>x</v>
      </c>
      <c r="CA58" s="56" t="str">
        <f t="shared" si="43"/>
        <v>x</v>
      </c>
      <c r="CB58" s="56" t="str">
        <f t="shared" si="43"/>
        <v>x</v>
      </c>
      <c r="CC58" s="56" t="str">
        <f t="shared" si="43"/>
        <v>x</v>
      </c>
      <c r="CD58" s="56" t="str">
        <f t="shared" si="43"/>
        <v>x</v>
      </c>
      <c r="CE58" s="56" t="str">
        <f t="shared" si="43"/>
        <v>x</v>
      </c>
      <c r="CF58" s="56" t="str">
        <f t="shared" si="43"/>
        <v>x</v>
      </c>
      <c r="CG58" s="56" t="str">
        <f t="shared" si="43"/>
        <v>--</v>
      </c>
      <c r="CH58" s="56" t="str">
        <f t="shared" si="43"/>
        <v>x</v>
      </c>
      <c r="CI58" s="56" t="str">
        <f t="shared" si="43"/>
        <v>x</v>
      </c>
      <c r="CJ58" s="56" t="str">
        <f t="shared" si="43"/>
        <v>x</v>
      </c>
      <c r="CK58" s="56" t="str">
        <f t="shared" si="43"/>
        <v>x</v>
      </c>
      <c r="CL58" s="56" t="str">
        <f t="shared" si="43"/>
        <v>x</v>
      </c>
      <c r="CM58" s="56" t="str">
        <f t="shared" si="43"/>
        <v>x</v>
      </c>
      <c r="CN58" s="56" t="str">
        <f t="shared" si="43"/>
        <v>x</v>
      </c>
      <c r="CO58" s="56" t="str">
        <f t="shared" si="43"/>
        <v>x</v>
      </c>
      <c r="CP58" s="56" t="str">
        <f t="shared" si="42"/>
        <v>x</v>
      </c>
      <c r="CQ58" s="56" t="str">
        <f t="shared" si="42"/>
        <v>x</v>
      </c>
      <c r="CR58" s="56" t="str">
        <f t="shared" si="42"/>
        <v>x</v>
      </c>
      <c r="CS58" s="56" t="str">
        <f t="shared" si="42"/>
        <v>x</v>
      </c>
      <c r="CT58" s="56" t="str">
        <f t="shared" si="42"/>
        <v>x</v>
      </c>
      <c r="CU58" s="56" t="str">
        <f t="shared" si="42"/>
        <v>x</v>
      </c>
      <c r="CV58" s="56" t="str">
        <f t="shared" si="42"/>
        <v>x</v>
      </c>
      <c r="CW58" s="56" t="str">
        <f t="shared" si="42"/>
        <v>x</v>
      </c>
      <c r="CX58" s="56" t="str">
        <f t="shared" si="42"/>
        <v>x</v>
      </c>
      <c r="CY58" s="56" t="str">
        <f t="shared" si="42"/>
        <v>x</v>
      </c>
      <c r="CZ58" s="56" t="str">
        <f t="shared" si="42"/>
        <v>x</v>
      </c>
      <c r="DA58" s="56" t="str">
        <f t="shared" si="42"/>
        <v>x</v>
      </c>
      <c r="DB58" s="56" t="str">
        <f t="shared" si="42"/>
        <v>x</v>
      </c>
      <c r="DC58" s="56" t="str">
        <f t="shared" si="42"/>
        <v>x</v>
      </c>
      <c r="DD58" s="56" t="str">
        <f t="shared" si="42"/>
        <v>x</v>
      </c>
      <c r="DE58" s="56" t="str">
        <f t="shared" ref="DE58:DM68" si="45">IFERROR(IF(SEARCH(DE$5,$E58),$F58,"-"),"x")</f>
        <v>x</v>
      </c>
      <c r="DF58" s="56" t="str">
        <f t="shared" si="45"/>
        <v>x</v>
      </c>
      <c r="DG58" s="56" t="str">
        <f t="shared" si="45"/>
        <v>x</v>
      </c>
      <c r="DH58" s="56" t="str">
        <f t="shared" si="45"/>
        <v>x</v>
      </c>
      <c r="DI58" s="56" t="str">
        <f t="shared" si="45"/>
        <v>x</v>
      </c>
      <c r="DJ58" s="56" t="str">
        <f t="shared" si="45"/>
        <v>x</v>
      </c>
      <c r="DK58" s="56" t="str">
        <f t="shared" si="45"/>
        <v>x</v>
      </c>
      <c r="DL58" s="56" t="str">
        <f t="shared" si="45"/>
        <v>x</v>
      </c>
      <c r="DM58" s="56" t="str">
        <f t="shared" si="16"/>
        <v>x</v>
      </c>
      <c r="DN58" s="56" t="str">
        <f t="shared" si="16"/>
        <v>x</v>
      </c>
      <c r="DO58" s="56" t="str">
        <f t="shared" si="16"/>
        <v>x</v>
      </c>
    </row>
    <row r="59" spans="1:120" ht="62.25" customHeight="1">
      <c r="A59" s="52" t="s">
        <v>326</v>
      </c>
      <c r="B59" s="30" t="s">
        <v>122</v>
      </c>
      <c r="C59" s="29" t="s">
        <v>348</v>
      </c>
      <c r="D59" s="130" t="s">
        <v>264</v>
      </c>
      <c r="E59" s="23" t="s">
        <v>169</v>
      </c>
      <c r="F59" s="36" t="s">
        <v>3</v>
      </c>
      <c r="G59" s="37" t="s">
        <v>8</v>
      </c>
      <c r="H59" s="37"/>
      <c r="I59" s="37"/>
      <c r="J59" s="119"/>
      <c r="K59" s="56" t="str">
        <f t="shared" si="38"/>
        <v>x</v>
      </c>
      <c r="L59" s="56" t="str">
        <f t="shared" si="38"/>
        <v>x</v>
      </c>
      <c r="M59" s="56" t="str">
        <f t="shared" si="38"/>
        <v>x</v>
      </c>
      <c r="N59" s="56" t="str">
        <f t="shared" si="38"/>
        <v>x</v>
      </c>
      <c r="O59" s="56" t="str">
        <f t="shared" si="38"/>
        <v>x</v>
      </c>
      <c r="P59" s="56" t="str">
        <f t="shared" si="38"/>
        <v>x</v>
      </c>
      <c r="Q59" s="56" t="str">
        <f t="shared" si="38"/>
        <v>x</v>
      </c>
      <c r="R59" s="56" t="str">
        <f t="shared" si="38"/>
        <v>x</v>
      </c>
      <c r="S59" s="56" t="str">
        <f t="shared" si="38"/>
        <v>x</v>
      </c>
      <c r="T59" s="56" t="str">
        <f t="shared" si="38"/>
        <v>x</v>
      </c>
      <c r="U59" s="56" t="str">
        <f t="shared" si="39"/>
        <v>x</v>
      </c>
      <c r="V59" s="56" t="str">
        <f t="shared" si="39"/>
        <v>x</v>
      </c>
      <c r="W59" s="56" t="str">
        <f t="shared" si="39"/>
        <v>x</v>
      </c>
      <c r="X59" s="56" t="str">
        <f t="shared" si="39"/>
        <v>x</v>
      </c>
      <c r="Y59" s="56" t="str">
        <f t="shared" si="39"/>
        <v>x</v>
      </c>
      <c r="Z59" s="56" t="str">
        <f t="shared" si="39"/>
        <v>x</v>
      </c>
      <c r="AA59" s="56" t="str">
        <f t="shared" si="39"/>
        <v>x</v>
      </c>
      <c r="AB59" s="56" t="str">
        <f t="shared" si="39"/>
        <v>x</v>
      </c>
      <c r="AC59" s="56" t="str">
        <f t="shared" si="39"/>
        <v>x</v>
      </c>
      <c r="AD59" s="56" t="str">
        <f t="shared" si="39"/>
        <v>x</v>
      </c>
      <c r="AE59" s="56" t="str">
        <f t="shared" si="41"/>
        <v>x</v>
      </c>
      <c r="AF59" s="56" t="str">
        <f t="shared" si="41"/>
        <v>x</v>
      </c>
      <c r="AG59" s="56" t="str">
        <f t="shared" si="41"/>
        <v>x</v>
      </c>
      <c r="AH59" s="56" t="str">
        <f t="shared" si="41"/>
        <v>x</v>
      </c>
      <c r="AI59" s="56" t="str">
        <f t="shared" si="41"/>
        <v>x</v>
      </c>
      <c r="AJ59" s="56" t="str">
        <f t="shared" si="41"/>
        <v>x</v>
      </c>
      <c r="AK59" s="56" t="str">
        <f t="shared" si="41"/>
        <v>x</v>
      </c>
      <c r="AL59" s="56" t="str">
        <f t="shared" si="41"/>
        <v>x</v>
      </c>
      <c r="AM59" s="56" t="str">
        <f t="shared" si="41"/>
        <v>x</v>
      </c>
      <c r="AN59" s="56" t="str">
        <f t="shared" si="41"/>
        <v>x</v>
      </c>
      <c r="AO59" s="56" t="str">
        <f t="shared" si="41"/>
        <v>x</v>
      </c>
      <c r="AP59" s="56" t="str">
        <f t="shared" si="41"/>
        <v>x</v>
      </c>
      <c r="AQ59" s="56" t="str">
        <f t="shared" si="41"/>
        <v>x</v>
      </c>
      <c r="AR59" s="56" t="str">
        <f t="shared" si="41"/>
        <v>x</v>
      </c>
      <c r="AS59" s="56" t="str">
        <f t="shared" si="41"/>
        <v>x</v>
      </c>
      <c r="AT59" s="56" t="str">
        <f t="shared" si="40"/>
        <v>x</v>
      </c>
      <c r="AU59" s="56" t="str">
        <f t="shared" si="40"/>
        <v>x</v>
      </c>
      <c r="AV59" s="56" t="str">
        <f t="shared" si="40"/>
        <v>x</v>
      </c>
      <c r="AW59" s="56" t="str">
        <f t="shared" si="40"/>
        <v>x</v>
      </c>
      <c r="AX59" s="56" t="str">
        <f t="shared" si="40"/>
        <v>x</v>
      </c>
      <c r="AY59" s="56" t="str">
        <f t="shared" si="40"/>
        <v>x</v>
      </c>
      <c r="AZ59" s="56" t="str">
        <f t="shared" si="40"/>
        <v>x</v>
      </c>
      <c r="BA59" s="56" t="str">
        <f t="shared" si="40"/>
        <v>x</v>
      </c>
      <c r="BB59" s="56" t="str">
        <f t="shared" si="40"/>
        <v>x</v>
      </c>
      <c r="BC59" s="56" t="str">
        <f t="shared" si="40"/>
        <v>x</v>
      </c>
      <c r="BD59" s="56" t="str">
        <f t="shared" si="40"/>
        <v>x</v>
      </c>
      <c r="BE59" s="56" t="str">
        <f t="shared" si="40"/>
        <v>x</v>
      </c>
      <c r="BF59" s="56" t="str">
        <f t="shared" si="40"/>
        <v>x</v>
      </c>
      <c r="BG59" s="56" t="str">
        <f t="shared" si="40"/>
        <v>x</v>
      </c>
      <c r="BH59" s="56" t="str">
        <f t="shared" si="40"/>
        <v>x</v>
      </c>
      <c r="BI59" s="56" t="str">
        <f t="shared" si="40"/>
        <v>x</v>
      </c>
      <c r="BJ59" s="56" t="str">
        <f t="shared" si="37"/>
        <v>x</v>
      </c>
      <c r="BK59" s="56" t="str">
        <f t="shared" si="36"/>
        <v>x</v>
      </c>
      <c r="BL59" s="56" t="str">
        <f t="shared" si="36"/>
        <v>--</v>
      </c>
      <c r="BM59" s="56" t="str">
        <f t="shared" si="36"/>
        <v>x</v>
      </c>
      <c r="BN59" s="56" t="str">
        <f t="shared" si="36"/>
        <v>x</v>
      </c>
      <c r="BO59" s="56" t="str">
        <f t="shared" si="33"/>
        <v>x</v>
      </c>
      <c r="BP59" s="56" t="str">
        <f t="shared" si="33"/>
        <v>x</v>
      </c>
      <c r="BQ59" s="56" t="str">
        <f t="shared" si="33"/>
        <v>x</v>
      </c>
      <c r="BR59" s="56" t="str">
        <f t="shared" si="33"/>
        <v>x</v>
      </c>
      <c r="BS59" s="56" t="str">
        <f t="shared" si="32"/>
        <v>x</v>
      </c>
      <c r="BT59" s="56" t="str">
        <f t="shared" si="32"/>
        <v>x</v>
      </c>
      <c r="BU59" s="56" t="str">
        <f t="shared" si="32"/>
        <v>x</v>
      </c>
      <c r="BV59" s="56" t="str">
        <f t="shared" si="32"/>
        <v>x</v>
      </c>
      <c r="BW59" s="56" t="str">
        <f t="shared" si="32"/>
        <v>x</v>
      </c>
      <c r="BX59" s="56" t="str">
        <f t="shared" si="32"/>
        <v>x</v>
      </c>
      <c r="BY59" s="56" t="str">
        <f t="shared" si="32"/>
        <v>x</v>
      </c>
      <c r="BZ59" s="56" t="str">
        <f t="shared" si="43"/>
        <v>x</v>
      </c>
      <c r="CA59" s="56" t="str">
        <f t="shared" si="43"/>
        <v>x</v>
      </c>
      <c r="CB59" s="56" t="str">
        <f t="shared" si="43"/>
        <v>x</v>
      </c>
      <c r="CC59" s="56" t="str">
        <f t="shared" si="43"/>
        <v>x</v>
      </c>
      <c r="CD59" s="56" t="str">
        <f t="shared" si="43"/>
        <v>x</v>
      </c>
      <c r="CE59" s="56" t="str">
        <f t="shared" si="43"/>
        <v>x</v>
      </c>
      <c r="CF59" s="56" t="str">
        <f t="shared" si="43"/>
        <v>x</v>
      </c>
      <c r="CG59" s="56" t="str">
        <f t="shared" si="43"/>
        <v>--</v>
      </c>
      <c r="CH59" s="56" t="str">
        <f t="shared" si="43"/>
        <v>x</v>
      </c>
      <c r="CI59" s="56" t="str">
        <f t="shared" si="43"/>
        <v>x</v>
      </c>
      <c r="CJ59" s="56" t="str">
        <f t="shared" si="43"/>
        <v>x</v>
      </c>
      <c r="CK59" s="56" t="str">
        <f t="shared" si="43"/>
        <v>x</v>
      </c>
      <c r="CL59" s="56" t="str">
        <f t="shared" si="43"/>
        <v>x</v>
      </c>
      <c r="CM59" s="56" t="str">
        <f t="shared" si="43"/>
        <v>x</v>
      </c>
      <c r="CN59" s="56" t="str">
        <f t="shared" si="43"/>
        <v>x</v>
      </c>
      <c r="CO59" s="56" t="str">
        <f t="shared" si="43"/>
        <v>x</v>
      </c>
      <c r="CP59" s="56" t="str">
        <f t="shared" si="42"/>
        <v>x</v>
      </c>
      <c r="CQ59" s="56" t="str">
        <f t="shared" si="42"/>
        <v>x</v>
      </c>
      <c r="CR59" s="56" t="str">
        <f t="shared" si="42"/>
        <v>x</v>
      </c>
      <c r="CS59" s="56" t="str">
        <f t="shared" si="42"/>
        <v>x</v>
      </c>
      <c r="CT59" s="56" t="str">
        <f t="shared" si="42"/>
        <v>x</v>
      </c>
      <c r="CU59" s="56" t="str">
        <f t="shared" si="42"/>
        <v>x</v>
      </c>
      <c r="CV59" s="56" t="str">
        <f t="shared" si="42"/>
        <v>x</v>
      </c>
      <c r="CW59" s="56" t="str">
        <f t="shared" si="42"/>
        <v>x</v>
      </c>
      <c r="CX59" s="56" t="str">
        <f t="shared" si="42"/>
        <v>x</v>
      </c>
      <c r="CY59" s="56" t="str">
        <f t="shared" si="42"/>
        <v>x</v>
      </c>
      <c r="CZ59" s="56" t="str">
        <f t="shared" si="42"/>
        <v>x</v>
      </c>
      <c r="DA59" s="56" t="str">
        <f t="shared" si="42"/>
        <v>x</v>
      </c>
      <c r="DB59" s="56" t="str">
        <f t="shared" si="42"/>
        <v>x</v>
      </c>
      <c r="DC59" s="56" t="str">
        <f t="shared" si="42"/>
        <v>x</v>
      </c>
      <c r="DD59" s="56" t="str">
        <f t="shared" si="42"/>
        <v>x</v>
      </c>
      <c r="DE59" s="56" t="str">
        <f t="shared" si="45"/>
        <v>x</v>
      </c>
      <c r="DF59" s="56" t="str">
        <f t="shared" si="45"/>
        <v>x</v>
      </c>
      <c r="DG59" s="56" t="str">
        <f t="shared" si="45"/>
        <v>x</v>
      </c>
      <c r="DH59" s="56" t="str">
        <f t="shared" si="45"/>
        <v>x</v>
      </c>
      <c r="DI59" s="56" t="str">
        <f t="shared" si="45"/>
        <v>x</v>
      </c>
      <c r="DJ59" s="56" t="str">
        <f t="shared" si="45"/>
        <v>x</v>
      </c>
      <c r="DK59" s="56" t="str">
        <f t="shared" si="45"/>
        <v>x</v>
      </c>
      <c r="DL59" s="56" t="str">
        <f t="shared" si="45"/>
        <v>x</v>
      </c>
      <c r="DM59" s="56" t="str">
        <f t="shared" si="16"/>
        <v>x</v>
      </c>
      <c r="DN59" s="56" t="str">
        <f t="shared" si="16"/>
        <v>x</v>
      </c>
      <c r="DO59" s="56" t="str">
        <f t="shared" si="16"/>
        <v>x</v>
      </c>
    </row>
    <row r="60" spans="1:120" ht="30" customHeight="1">
      <c r="A60" s="52"/>
      <c r="B60" s="30" t="s">
        <v>123</v>
      </c>
      <c r="C60" s="29" t="s">
        <v>327</v>
      </c>
      <c r="D60" s="130" t="s">
        <v>328</v>
      </c>
      <c r="E60" s="23" t="s">
        <v>170</v>
      </c>
      <c r="F60" s="36" t="s">
        <v>3</v>
      </c>
      <c r="G60" s="37" t="s">
        <v>8</v>
      </c>
      <c r="H60" s="37"/>
      <c r="I60" s="37"/>
      <c r="J60" s="119"/>
      <c r="K60" s="56" t="str">
        <f t="shared" si="38"/>
        <v>x</v>
      </c>
      <c r="L60" s="56" t="str">
        <f t="shared" si="38"/>
        <v>x</v>
      </c>
      <c r="M60" s="56" t="str">
        <f t="shared" si="38"/>
        <v>x</v>
      </c>
      <c r="N60" s="56" t="str">
        <f t="shared" si="38"/>
        <v>x</v>
      </c>
      <c r="O60" s="56" t="str">
        <f t="shared" si="38"/>
        <v>x</v>
      </c>
      <c r="P60" s="56" t="str">
        <f t="shared" si="38"/>
        <v>x</v>
      </c>
      <c r="Q60" s="56" t="str">
        <f t="shared" si="38"/>
        <v>x</v>
      </c>
      <c r="R60" s="56" t="str">
        <f t="shared" si="38"/>
        <v>x</v>
      </c>
      <c r="S60" s="56" t="str">
        <f t="shared" si="38"/>
        <v>x</v>
      </c>
      <c r="T60" s="56" t="str">
        <f t="shared" si="38"/>
        <v>x</v>
      </c>
      <c r="U60" s="56" t="str">
        <f t="shared" si="39"/>
        <v>x</v>
      </c>
      <c r="V60" s="56" t="str">
        <f t="shared" si="39"/>
        <v>x</v>
      </c>
      <c r="W60" s="56" t="str">
        <f t="shared" si="39"/>
        <v>x</v>
      </c>
      <c r="X60" s="56" t="str">
        <f t="shared" si="39"/>
        <v>x</v>
      </c>
      <c r="Y60" s="56" t="str">
        <f t="shared" si="39"/>
        <v>x</v>
      </c>
      <c r="Z60" s="56" t="str">
        <f t="shared" si="39"/>
        <v>x</v>
      </c>
      <c r="AA60" s="56" t="str">
        <f t="shared" si="39"/>
        <v>x</v>
      </c>
      <c r="AB60" s="56" t="str">
        <f t="shared" si="39"/>
        <v>x</v>
      </c>
      <c r="AC60" s="56" t="str">
        <f t="shared" si="39"/>
        <v>x</v>
      </c>
      <c r="AD60" s="56" t="str">
        <f t="shared" si="39"/>
        <v>x</v>
      </c>
      <c r="AE60" s="56" t="str">
        <f t="shared" si="41"/>
        <v>x</v>
      </c>
      <c r="AF60" s="56" t="str">
        <f t="shared" si="41"/>
        <v>x</v>
      </c>
      <c r="AG60" s="56" t="str">
        <f t="shared" si="41"/>
        <v>x</v>
      </c>
      <c r="AH60" s="56" t="str">
        <f t="shared" si="41"/>
        <v>x</v>
      </c>
      <c r="AI60" s="56" t="str">
        <f t="shared" si="41"/>
        <v>x</v>
      </c>
      <c r="AJ60" s="56" t="str">
        <f t="shared" si="41"/>
        <v>x</v>
      </c>
      <c r="AK60" s="56" t="str">
        <f t="shared" si="41"/>
        <v>x</v>
      </c>
      <c r="AL60" s="56" t="str">
        <f t="shared" si="41"/>
        <v>x</v>
      </c>
      <c r="AM60" s="56" t="str">
        <f t="shared" si="41"/>
        <v>x</v>
      </c>
      <c r="AN60" s="56" t="str">
        <f t="shared" si="41"/>
        <v>x</v>
      </c>
      <c r="AO60" s="56" t="str">
        <f t="shared" si="41"/>
        <v>x</v>
      </c>
      <c r="AP60" s="56" t="str">
        <f t="shared" si="41"/>
        <v>x</v>
      </c>
      <c r="AQ60" s="56" t="str">
        <f t="shared" si="41"/>
        <v>x</v>
      </c>
      <c r="AR60" s="56" t="str">
        <f t="shared" si="41"/>
        <v>x</v>
      </c>
      <c r="AS60" s="56" t="str">
        <f t="shared" si="41"/>
        <v>x</v>
      </c>
      <c r="AT60" s="56" t="str">
        <f t="shared" si="40"/>
        <v>x</v>
      </c>
      <c r="AU60" s="56" t="str">
        <f t="shared" si="40"/>
        <v>x</v>
      </c>
      <c r="AV60" s="56" t="str">
        <f t="shared" si="40"/>
        <v>x</v>
      </c>
      <c r="AW60" s="56" t="str">
        <f t="shared" si="40"/>
        <v>x</v>
      </c>
      <c r="AX60" s="56" t="str">
        <f t="shared" si="40"/>
        <v>x</v>
      </c>
      <c r="AY60" s="56" t="str">
        <f t="shared" si="40"/>
        <v>x</v>
      </c>
      <c r="AZ60" s="56" t="str">
        <f t="shared" si="40"/>
        <v>x</v>
      </c>
      <c r="BA60" s="56" t="str">
        <f t="shared" si="40"/>
        <v>x</v>
      </c>
      <c r="BB60" s="56" t="str">
        <f t="shared" si="40"/>
        <v>x</v>
      </c>
      <c r="BC60" s="56" t="str">
        <f t="shared" si="40"/>
        <v>x</v>
      </c>
      <c r="BD60" s="56" t="str">
        <f t="shared" si="40"/>
        <v>x</v>
      </c>
      <c r="BE60" s="56" t="str">
        <f t="shared" si="40"/>
        <v>x</v>
      </c>
      <c r="BF60" s="56" t="str">
        <f t="shared" si="40"/>
        <v>x</v>
      </c>
      <c r="BG60" s="56" t="str">
        <f t="shared" si="40"/>
        <v>x</v>
      </c>
      <c r="BH60" s="56" t="str">
        <f t="shared" si="40"/>
        <v>x</v>
      </c>
      <c r="BI60" s="56" t="str">
        <f t="shared" si="40"/>
        <v>x</v>
      </c>
      <c r="BJ60" s="56" t="str">
        <f t="shared" si="37"/>
        <v>x</v>
      </c>
      <c r="BK60" s="56" t="str">
        <f t="shared" si="36"/>
        <v>x</v>
      </c>
      <c r="BL60" s="56" t="str">
        <f t="shared" si="36"/>
        <v>x</v>
      </c>
      <c r="BM60" s="56" t="str">
        <f t="shared" si="36"/>
        <v>--</v>
      </c>
      <c r="BN60" s="56" t="str">
        <f t="shared" si="36"/>
        <v>x</v>
      </c>
      <c r="BO60" s="56" t="str">
        <f t="shared" si="33"/>
        <v>x</v>
      </c>
      <c r="BP60" s="56" t="str">
        <f t="shared" si="33"/>
        <v>x</v>
      </c>
      <c r="BQ60" s="56" t="str">
        <f t="shared" si="33"/>
        <v>x</v>
      </c>
      <c r="BR60" s="56" t="str">
        <f t="shared" si="33"/>
        <v>x</v>
      </c>
      <c r="BS60" s="56" t="str">
        <f t="shared" si="32"/>
        <v>x</v>
      </c>
      <c r="BT60" s="56" t="str">
        <f t="shared" si="32"/>
        <v>x</v>
      </c>
      <c r="BU60" s="56" t="str">
        <f t="shared" si="32"/>
        <v>x</v>
      </c>
      <c r="BV60" s="56" t="str">
        <f t="shared" si="32"/>
        <v>x</v>
      </c>
      <c r="BW60" s="56" t="str">
        <f t="shared" si="32"/>
        <v>x</v>
      </c>
      <c r="BX60" s="56" t="str">
        <f t="shared" si="32"/>
        <v>x</v>
      </c>
      <c r="BY60" s="56" t="str">
        <f t="shared" si="32"/>
        <v>x</v>
      </c>
      <c r="BZ60" s="56" t="str">
        <f t="shared" si="43"/>
        <v>x</v>
      </c>
      <c r="CA60" s="56" t="str">
        <f t="shared" si="43"/>
        <v>x</v>
      </c>
      <c r="CB60" s="56" t="str">
        <f t="shared" si="43"/>
        <v>x</v>
      </c>
      <c r="CC60" s="56" t="str">
        <f t="shared" si="43"/>
        <v>x</v>
      </c>
      <c r="CD60" s="56" t="str">
        <f t="shared" si="43"/>
        <v>x</v>
      </c>
      <c r="CE60" s="56" t="str">
        <f t="shared" si="43"/>
        <v>x</v>
      </c>
      <c r="CF60" s="56" t="str">
        <f t="shared" si="43"/>
        <v>x</v>
      </c>
      <c r="CG60" s="56" t="str">
        <f t="shared" si="43"/>
        <v>x</v>
      </c>
      <c r="CH60" s="56" t="str">
        <f t="shared" si="43"/>
        <v>--</v>
      </c>
      <c r="CI60" s="56" t="str">
        <f t="shared" si="43"/>
        <v>x</v>
      </c>
      <c r="CJ60" s="56" t="str">
        <f t="shared" si="43"/>
        <v>x</v>
      </c>
      <c r="CK60" s="56" t="str">
        <f t="shared" si="43"/>
        <v>x</v>
      </c>
      <c r="CL60" s="56" t="str">
        <f t="shared" si="43"/>
        <v>x</v>
      </c>
      <c r="CM60" s="56" t="str">
        <f t="shared" si="43"/>
        <v>x</v>
      </c>
      <c r="CN60" s="56" t="str">
        <f t="shared" si="43"/>
        <v>x</v>
      </c>
      <c r="CO60" s="56" t="str">
        <f t="shared" si="43"/>
        <v>x</v>
      </c>
      <c r="CP60" s="56" t="str">
        <f t="shared" si="42"/>
        <v>x</v>
      </c>
      <c r="CQ60" s="56" t="str">
        <f t="shared" si="42"/>
        <v>x</v>
      </c>
      <c r="CR60" s="56" t="str">
        <f t="shared" si="42"/>
        <v>x</v>
      </c>
      <c r="CS60" s="56" t="str">
        <f t="shared" si="42"/>
        <v>x</v>
      </c>
      <c r="CT60" s="56" t="str">
        <f t="shared" si="42"/>
        <v>x</v>
      </c>
      <c r="CU60" s="56" t="str">
        <f t="shared" si="42"/>
        <v>x</v>
      </c>
      <c r="CV60" s="56" t="str">
        <f t="shared" si="42"/>
        <v>x</v>
      </c>
      <c r="CW60" s="56" t="str">
        <f t="shared" si="42"/>
        <v>x</v>
      </c>
      <c r="CX60" s="56" t="str">
        <f t="shared" si="42"/>
        <v>x</v>
      </c>
      <c r="CY60" s="56" t="str">
        <f t="shared" si="42"/>
        <v>x</v>
      </c>
      <c r="CZ60" s="56" t="str">
        <f t="shared" si="42"/>
        <v>x</v>
      </c>
      <c r="DA60" s="56" t="str">
        <f t="shared" si="42"/>
        <v>x</v>
      </c>
      <c r="DB60" s="56" t="str">
        <f t="shared" si="42"/>
        <v>x</v>
      </c>
      <c r="DC60" s="56" t="str">
        <f t="shared" si="42"/>
        <v>x</v>
      </c>
      <c r="DD60" s="56" t="str">
        <f t="shared" si="42"/>
        <v>x</v>
      </c>
      <c r="DE60" s="56" t="str">
        <f t="shared" si="45"/>
        <v>x</v>
      </c>
      <c r="DF60" s="56" t="str">
        <f t="shared" si="45"/>
        <v>x</v>
      </c>
      <c r="DG60" s="56" t="str">
        <f t="shared" si="45"/>
        <v>x</v>
      </c>
      <c r="DH60" s="56" t="str">
        <f t="shared" si="45"/>
        <v>x</v>
      </c>
      <c r="DI60" s="56" t="str">
        <f t="shared" si="45"/>
        <v>x</v>
      </c>
      <c r="DJ60" s="56" t="str">
        <f t="shared" si="45"/>
        <v>x</v>
      </c>
      <c r="DK60" s="56" t="str">
        <f t="shared" si="45"/>
        <v>x</v>
      </c>
      <c r="DL60" s="56" t="str">
        <f t="shared" si="45"/>
        <v>x</v>
      </c>
      <c r="DM60" s="56" t="str">
        <f t="shared" si="16"/>
        <v>x</v>
      </c>
      <c r="DN60" s="56" t="str">
        <f t="shared" si="16"/>
        <v>x</v>
      </c>
      <c r="DO60" s="56" t="str">
        <f t="shared" si="16"/>
        <v>x</v>
      </c>
    </row>
    <row r="61" spans="1:120" s="15" customFormat="1" ht="42.75" customHeight="1" thickBot="1">
      <c r="A61" s="52" t="s">
        <v>330</v>
      </c>
      <c r="B61" s="30" t="s">
        <v>122</v>
      </c>
      <c r="C61" s="29" t="s">
        <v>349</v>
      </c>
      <c r="D61" s="130" t="s">
        <v>265</v>
      </c>
      <c r="E61" s="23" t="s">
        <v>164</v>
      </c>
      <c r="F61" s="36" t="s">
        <v>3</v>
      </c>
      <c r="G61" s="37"/>
      <c r="H61" s="37">
        <v>16</v>
      </c>
      <c r="I61" s="37"/>
      <c r="J61" s="119"/>
      <c r="K61" s="56" t="str">
        <f t="shared" si="38"/>
        <v>x</v>
      </c>
      <c r="L61" s="56" t="str">
        <f t="shared" si="38"/>
        <v>x</v>
      </c>
      <c r="M61" s="56" t="str">
        <f t="shared" si="38"/>
        <v>x</v>
      </c>
      <c r="N61" s="56" t="str">
        <f t="shared" si="38"/>
        <v>x</v>
      </c>
      <c r="O61" s="56" t="str">
        <f t="shared" si="38"/>
        <v>x</v>
      </c>
      <c r="P61" s="56" t="str">
        <f t="shared" si="38"/>
        <v>x</v>
      </c>
      <c r="Q61" s="56" t="str">
        <f t="shared" si="38"/>
        <v>x</v>
      </c>
      <c r="R61" s="56" t="str">
        <f t="shared" si="38"/>
        <v>x</v>
      </c>
      <c r="S61" s="56" t="str">
        <f t="shared" si="38"/>
        <v>x</v>
      </c>
      <c r="T61" s="56" t="str">
        <f t="shared" si="38"/>
        <v>x</v>
      </c>
      <c r="U61" s="56" t="str">
        <f t="shared" si="39"/>
        <v>x</v>
      </c>
      <c r="V61" s="56" t="str">
        <f t="shared" si="39"/>
        <v>x</v>
      </c>
      <c r="W61" s="56" t="str">
        <f t="shared" si="39"/>
        <v>x</v>
      </c>
      <c r="X61" s="56" t="str">
        <f t="shared" si="39"/>
        <v>x</v>
      </c>
      <c r="Y61" s="56" t="str">
        <f t="shared" si="39"/>
        <v>x</v>
      </c>
      <c r="Z61" s="56" t="str">
        <f t="shared" si="39"/>
        <v>x</v>
      </c>
      <c r="AA61" s="56" t="str">
        <f t="shared" si="39"/>
        <v>x</v>
      </c>
      <c r="AB61" s="56" t="str">
        <f t="shared" si="39"/>
        <v>x</v>
      </c>
      <c r="AC61" s="56" t="str">
        <f t="shared" si="39"/>
        <v>x</v>
      </c>
      <c r="AD61" s="56" t="str">
        <f t="shared" si="39"/>
        <v>x</v>
      </c>
      <c r="AE61" s="56" t="str">
        <f t="shared" si="41"/>
        <v>x</v>
      </c>
      <c r="AF61" s="56" t="str">
        <f t="shared" si="41"/>
        <v>x</v>
      </c>
      <c r="AG61" s="56" t="str">
        <f t="shared" si="41"/>
        <v>x</v>
      </c>
      <c r="AH61" s="56" t="str">
        <f t="shared" si="41"/>
        <v>x</v>
      </c>
      <c r="AI61" s="56" t="str">
        <f t="shared" si="41"/>
        <v>x</v>
      </c>
      <c r="AJ61" s="56" t="str">
        <f t="shared" si="41"/>
        <v>x</v>
      </c>
      <c r="AK61" s="56" t="str">
        <f t="shared" si="41"/>
        <v>x</v>
      </c>
      <c r="AL61" s="56" t="str">
        <f t="shared" si="41"/>
        <v>x</v>
      </c>
      <c r="AM61" s="56" t="str">
        <f t="shared" si="41"/>
        <v>x</v>
      </c>
      <c r="AN61" s="56" t="str">
        <f t="shared" si="41"/>
        <v>x</v>
      </c>
      <c r="AO61" s="56" t="str">
        <f t="shared" si="41"/>
        <v>x</v>
      </c>
      <c r="AP61" s="56" t="str">
        <f t="shared" si="41"/>
        <v>x</v>
      </c>
      <c r="AQ61" s="56" t="str">
        <f t="shared" si="41"/>
        <v>x</v>
      </c>
      <c r="AR61" s="56" t="str">
        <f t="shared" si="41"/>
        <v>x</v>
      </c>
      <c r="AS61" s="56" t="str">
        <f t="shared" si="41"/>
        <v>x</v>
      </c>
      <c r="AT61" s="56" t="str">
        <f t="shared" si="40"/>
        <v>x</v>
      </c>
      <c r="AU61" s="56" t="str">
        <f t="shared" si="40"/>
        <v>x</v>
      </c>
      <c r="AV61" s="56" t="str">
        <f t="shared" si="40"/>
        <v>x</v>
      </c>
      <c r="AW61" s="56" t="str">
        <f t="shared" si="40"/>
        <v>x</v>
      </c>
      <c r="AX61" s="56" t="str">
        <f t="shared" si="40"/>
        <v>x</v>
      </c>
      <c r="AY61" s="56" t="str">
        <f t="shared" si="40"/>
        <v>x</v>
      </c>
      <c r="AZ61" s="56" t="str">
        <f t="shared" si="40"/>
        <v>x</v>
      </c>
      <c r="BA61" s="56" t="str">
        <f t="shared" si="40"/>
        <v>x</v>
      </c>
      <c r="BB61" s="56" t="str">
        <f t="shared" si="40"/>
        <v>x</v>
      </c>
      <c r="BC61" s="56" t="str">
        <f t="shared" si="40"/>
        <v>x</v>
      </c>
      <c r="BD61" s="56" t="str">
        <f t="shared" si="40"/>
        <v>x</v>
      </c>
      <c r="BE61" s="56" t="str">
        <f t="shared" si="40"/>
        <v>x</v>
      </c>
      <c r="BF61" s="56" t="str">
        <f t="shared" si="40"/>
        <v>x</v>
      </c>
      <c r="BG61" s="56" t="str">
        <f t="shared" si="40"/>
        <v>x</v>
      </c>
      <c r="BH61" s="56" t="str">
        <f t="shared" si="40"/>
        <v>x</v>
      </c>
      <c r="BI61" s="56" t="str">
        <f t="shared" si="40"/>
        <v>x</v>
      </c>
      <c r="BJ61" s="56" t="str">
        <f t="shared" si="37"/>
        <v>x</v>
      </c>
      <c r="BK61" s="56" t="str">
        <f t="shared" si="36"/>
        <v>x</v>
      </c>
      <c r="BL61" s="56" t="str">
        <f t="shared" si="36"/>
        <v>x</v>
      </c>
      <c r="BM61" s="56" t="str">
        <f t="shared" si="36"/>
        <v>x</v>
      </c>
      <c r="BN61" s="56" t="str">
        <f t="shared" si="36"/>
        <v>x</v>
      </c>
      <c r="BO61" s="56" t="str">
        <f t="shared" si="33"/>
        <v>--</v>
      </c>
      <c r="BP61" s="56" t="str">
        <f t="shared" si="33"/>
        <v>x</v>
      </c>
      <c r="BQ61" s="56" t="str">
        <f t="shared" si="33"/>
        <v>x</v>
      </c>
      <c r="BR61" s="56" t="str">
        <f t="shared" si="33"/>
        <v>x</v>
      </c>
      <c r="BS61" s="56" t="str">
        <f t="shared" si="32"/>
        <v>x</v>
      </c>
      <c r="BT61" s="56" t="str">
        <f t="shared" si="32"/>
        <v>x</v>
      </c>
      <c r="BU61" s="56" t="str">
        <f t="shared" si="32"/>
        <v>x</v>
      </c>
      <c r="BV61" s="56" t="str">
        <f t="shared" si="32"/>
        <v>x</v>
      </c>
      <c r="BW61" s="56" t="str">
        <f t="shared" si="32"/>
        <v>x</v>
      </c>
      <c r="BX61" s="56" t="str">
        <f t="shared" si="32"/>
        <v>x</v>
      </c>
      <c r="BY61" s="56" t="str">
        <f t="shared" si="32"/>
        <v>x</v>
      </c>
      <c r="BZ61" s="56" t="str">
        <f t="shared" si="43"/>
        <v>x</v>
      </c>
      <c r="CA61" s="56" t="str">
        <f t="shared" si="43"/>
        <v>x</v>
      </c>
      <c r="CB61" s="56" t="str">
        <f t="shared" si="43"/>
        <v>--</v>
      </c>
      <c r="CC61" s="56" t="str">
        <f t="shared" si="43"/>
        <v>x</v>
      </c>
      <c r="CD61" s="56" t="str">
        <f t="shared" si="43"/>
        <v>x</v>
      </c>
      <c r="CE61" s="56" t="str">
        <f t="shared" si="43"/>
        <v>x</v>
      </c>
      <c r="CF61" s="56" t="str">
        <f t="shared" si="43"/>
        <v>x</v>
      </c>
      <c r="CG61" s="56" t="str">
        <f t="shared" si="43"/>
        <v>x</v>
      </c>
      <c r="CH61" s="56" t="str">
        <f t="shared" si="43"/>
        <v>x</v>
      </c>
      <c r="CI61" s="56" t="str">
        <f t="shared" si="43"/>
        <v>x</v>
      </c>
      <c r="CJ61" s="56" t="str">
        <f t="shared" si="43"/>
        <v>x</v>
      </c>
      <c r="CK61" s="56" t="str">
        <f t="shared" si="43"/>
        <v>x</v>
      </c>
      <c r="CL61" s="56" t="str">
        <f t="shared" si="43"/>
        <v>x</v>
      </c>
      <c r="CM61" s="56" t="str">
        <f t="shared" si="43"/>
        <v>x</v>
      </c>
      <c r="CN61" s="56" t="str">
        <f t="shared" si="43"/>
        <v>x</v>
      </c>
      <c r="CO61" s="56" t="str">
        <f t="shared" si="43"/>
        <v>x</v>
      </c>
      <c r="CP61" s="56" t="str">
        <f t="shared" si="42"/>
        <v>x</v>
      </c>
      <c r="CQ61" s="56" t="str">
        <f t="shared" si="42"/>
        <v>x</v>
      </c>
      <c r="CR61" s="56" t="str">
        <f t="shared" si="42"/>
        <v>x</v>
      </c>
      <c r="CS61" s="56" t="str">
        <f t="shared" si="42"/>
        <v>x</v>
      </c>
      <c r="CT61" s="56" t="str">
        <f t="shared" si="42"/>
        <v>x</v>
      </c>
      <c r="CU61" s="56" t="str">
        <f t="shared" si="42"/>
        <v>x</v>
      </c>
      <c r="CV61" s="56" t="str">
        <f t="shared" si="42"/>
        <v>x</v>
      </c>
      <c r="CW61" s="56" t="str">
        <f t="shared" si="42"/>
        <v>x</v>
      </c>
      <c r="CX61" s="56" t="str">
        <f t="shared" si="42"/>
        <v>x</v>
      </c>
      <c r="CY61" s="56" t="str">
        <f t="shared" si="42"/>
        <v>x</v>
      </c>
      <c r="CZ61" s="56" t="str">
        <f t="shared" si="42"/>
        <v>x</v>
      </c>
      <c r="DA61" s="56" t="str">
        <f t="shared" si="42"/>
        <v>x</v>
      </c>
      <c r="DB61" s="56" t="str">
        <f t="shared" si="42"/>
        <v>x</v>
      </c>
      <c r="DC61" s="56" t="str">
        <f t="shared" si="42"/>
        <v>x</v>
      </c>
      <c r="DD61" s="56" t="str">
        <f t="shared" si="42"/>
        <v>x</v>
      </c>
      <c r="DE61" s="56" t="str">
        <f t="shared" si="45"/>
        <v>x</v>
      </c>
      <c r="DF61" s="56" t="str">
        <f t="shared" si="45"/>
        <v>x</v>
      </c>
      <c r="DG61" s="56" t="str">
        <f t="shared" si="45"/>
        <v>x</v>
      </c>
      <c r="DH61" s="56" t="str">
        <f t="shared" si="45"/>
        <v>x</v>
      </c>
      <c r="DI61" s="56" t="str">
        <f t="shared" si="45"/>
        <v>x</v>
      </c>
      <c r="DJ61" s="56" t="str">
        <f t="shared" si="45"/>
        <v>x</v>
      </c>
      <c r="DK61" s="56" t="str">
        <f t="shared" si="45"/>
        <v>x</v>
      </c>
      <c r="DL61" s="56" t="str">
        <f t="shared" si="45"/>
        <v>x</v>
      </c>
      <c r="DM61" s="56" t="str">
        <f t="shared" si="45"/>
        <v>x</v>
      </c>
      <c r="DN61" s="56" t="str">
        <f t="shared" ref="DN61:DO68" si="46">IFERROR(IF(SEARCH(DN$5,$E61),$F61,"-"),"x")</f>
        <v>x</v>
      </c>
      <c r="DO61" s="56" t="str">
        <f t="shared" si="46"/>
        <v>x</v>
      </c>
    </row>
    <row r="62" spans="1:120" s="18" customFormat="1" ht="46.5" customHeight="1" thickBot="1">
      <c r="A62" s="52"/>
      <c r="B62" s="30" t="s">
        <v>123</v>
      </c>
      <c r="C62" s="29" t="s">
        <v>212</v>
      </c>
      <c r="D62" s="130" t="s">
        <v>266</v>
      </c>
      <c r="E62" s="23" t="s">
        <v>164</v>
      </c>
      <c r="F62" s="36" t="s">
        <v>3</v>
      </c>
      <c r="G62" s="37"/>
      <c r="H62" s="37">
        <v>16</v>
      </c>
      <c r="I62" s="37"/>
      <c r="J62" s="116"/>
      <c r="K62" s="56" t="str">
        <f t="shared" si="38"/>
        <v>x</v>
      </c>
      <c r="L62" s="56" t="str">
        <f t="shared" si="38"/>
        <v>x</v>
      </c>
      <c r="M62" s="56" t="str">
        <f t="shared" si="38"/>
        <v>x</v>
      </c>
      <c r="N62" s="56" t="str">
        <f t="shared" si="38"/>
        <v>x</v>
      </c>
      <c r="O62" s="56" t="str">
        <f t="shared" si="38"/>
        <v>x</v>
      </c>
      <c r="P62" s="56" t="str">
        <f t="shared" si="38"/>
        <v>x</v>
      </c>
      <c r="Q62" s="56" t="str">
        <f t="shared" si="38"/>
        <v>x</v>
      </c>
      <c r="R62" s="56" t="str">
        <f t="shared" si="38"/>
        <v>x</v>
      </c>
      <c r="S62" s="56" t="str">
        <f t="shared" si="38"/>
        <v>x</v>
      </c>
      <c r="T62" s="56" t="str">
        <f t="shared" si="38"/>
        <v>x</v>
      </c>
      <c r="U62" s="56" t="str">
        <f t="shared" si="39"/>
        <v>x</v>
      </c>
      <c r="V62" s="56" t="str">
        <f t="shared" si="39"/>
        <v>x</v>
      </c>
      <c r="W62" s="56" t="str">
        <f t="shared" si="39"/>
        <v>x</v>
      </c>
      <c r="X62" s="56" t="str">
        <f t="shared" si="39"/>
        <v>x</v>
      </c>
      <c r="Y62" s="56" t="str">
        <f t="shared" si="39"/>
        <v>x</v>
      </c>
      <c r="Z62" s="56" t="str">
        <f t="shared" si="39"/>
        <v>x</v>
      </c>
      <c r="AA62" s="56" t="str">
        <f t="shared" si="39"/>
        <v>x</v>
      </c>
      <c r="AB62" s="56" t="str">
        <f t="shared" si="39"/>
        <v>x</v>
      </c>
      <c r="AC62" s="56" t="str">
        <f t="shared" si="39"/>
        <v>x</v>
      </c>
      <c r="AD62" s="56" t="str">
        <f t="shared" si="39"/>
        <v>x</v>
      </c>
      <c r="AE62" s="56" t="str">
        <f t="shared" si="41"/>
        <v>x</v>
      </c>
      <c r="AF62" s="56" t="str">
        <f t="shared" si="41"/>
        <v>x</v>
      </c>
      <c r="AG62" s="56" t="str">
        <f t="shared" si="41"/>
        <v>x</v>
      </c>
      <c r="AH62" s="56" t="str">
        <f t="shared" si="41"/>
        <v>x</v>
      </c>
      <c r="AI62" s="56" t="str">
        <f t="shared" si="41"/>
        <v>x</v>
      </c>
      <c r="AJ62" s="56" t="str">
        <f t="shared" si="41"/>
        <v>x</v>
      </c>
      <c r="AK62" s="56" t="str">
        <f t="shared" si="41"/>
        <v>x</v>
      </c>
      <c r="AL62" s="56" t="str">
        <f t="shared" si="41"/>
        <v>x</v>
      </c>
      <c r="AM62" s="56" t="str">
        <f t="shared" si="41"/>
        <v>x</v>
      </c>
      <c r="AN62" s="56" t="str">
        <f t="shared" si="41"/>
        <v>x</v>
      </c>
      <c r="AO62" s="56" t="str">
        <f t="shared" si="41"/>
        <v>x</v>
      </c>
      <c r="AP62" s="56" t="str">
        <f t="shared" si="41"/>
        <v>x</v>
      </c>
      <c r="AQ62" s="56" t="str">
        <f t="shared" si="41"/>
        <v>x</v>
      </c>
      <c r="AR62" s="56" t="str">
        <f t="shared" si="41"/>
        <v>x</v>
      </c>
      <c r="AS62" s="56" t="str">
        <f t="shared" si="41"/>
        <v>x</v>
      </c>
      <c r="AT62" s="56" t="str">
        <f t="shared" si="40"/>
        <v>x</v>
      </c>
      <c r="AU62" s="56" t="str">
        <f t="shared" si="40"/>
        <v>x</v>
      </c>
      <c r="AV62" s="56" t="str">
        <f t="shared" si="40"/>
        <v>x</v>
      </c>
      <c r="AW62" s="56" t="str">
        <f t="shared" si="40"/>
        <v>x</v>
      </c>
      <c r="AX62" s="56" t="str">
        <f t="shared" si="40"/>
        <v>x</v>
      </c>
      <c r="AY62" s="56" t="str">
        <f t="shared" si="40"/>
        <v>x</v>
      </c>
      <c r="AZ62" s="56" t="str">
        <f t="shared" si="40"/>
        <v>x</v>
      </c>
      <c r="BA62" s="56" t="str">
        <f t="shared" si="40"/>
        <v>x</v>
      </c>
      <c r="BB62" s="56" t="str">
        <f t="shared" si="40"/>
        <v>x</v>
      </c>
      <c r="BC62" s="56" t="str">
        <f t="shared" si="40"/>
        <v>x</v>
      </c>
      <c r="BD62" s="56" t="str">
        <f t="shared" si="40"/>
        <v>x</v>
      </c>
      <c r="BE62" s="56" t="str">
        <f t="shared" si="40"/>
        <v>x</v>
      </c>
      <c r="BF62" s="56" t="str">
        <f t="shared" si="40"/>
        <v>x</v>
      </c>
      <c r="BG62" s="56" t="str">
        <f t="shared" si="40"/>
        <v>x</v>
      </c>
      <c r="BH62" s="56" t="str">
        <f t="shared" si="40"/>
        <v>x</v>
      </c>
      <c r="BI62" s="56" t="str">
        <f t="shared" si="40"/>
        <v>x</v>
      </c>
      <c r="BJ62" s="56" t="str">
        <f t="shared" si="37"/>
        <v>x</v>
      </c>
      <c r="BK62" s="56" t="str">
        <f t="shared" si="36"/>
        <v>x</v>
      </c>
      <c r="BL62" s="56" t="str">
        <f t="shared" si="36"/>
        <v>x</v>
      </c>
      <c r="BM62" s="56" t="str">
        <f t="shared" si="36"/>
        <v>x</v>
      </c>
      <c r="BN62" s="56" t="str">
        <f t="shared" si="36"/>
        <v>x</v>
      </c>
      <c r="BO62" s="56" t="str">
        <f t="shared" si="33"/>
        <v>--</v>
      </c>
      <c r="BP62" s="56" t="str">
        <f t="shared" si="33"/>
        <v>--</v>
      </c>
      <c r="BQ62" s="56" t="str">
        <f t="shared" si="33"/>
        <v>x</v>
      </c>
      <c r="BR62" s="56" t="str">
        <f t="shared" si="33"/>
        <v>x</v>
      </c>
      <c r="BS62" s="56" t="str">
        <f t="shared" si="32"/>
        <v>x</v>
      </c>
      <c r="BT62" s="56" t="str">
        <f t="shared" si="32"/>
        <v>x</v>
      </c>
      <c r="BU62" s="56" t="str">
        <f t="shared" si="32"/>
        <v>x</v>
      </c>
      <c r="BV62" s="56" t="str">
        <f t="shared" si="32"/>
        <v>x</v>
      </c>
      <c r="BW62" s="56" t="str">
        <f t="shared" si="32"/>
        <v>x</v>
      </c>
      <c r="BX62" s="56" t="str">
        <f t="shared" si="32"/>
        <v>x</v>
      </c>
      <c r="BY62" s="56" t="str">
        <f t="shared" si="32"/>
        <v>x</v>
      </c>
      <c r="BZ62" s="56" t="str">
        <f t="shared" si="43"/>
        <v>x</v>
      </c>
      <c r="CA62" s="56" t="str">
        <f t="shared" si="43"/>
        <v>x</v>
      </c>
      <c r="CB62" s="56" t="str">
        <f t="shared" si="43"/>
        <v>--</v>
      </c>
      <c r="CC62" s="56" t="str">
        <f t="shared" si="43"/>
        <v>x</v>
      </c>
      <c r="CD62" s="56" t="str">
        <f t="shared" si="43"/>
        <v>x</v>
      </c>
      <c r="CE62" s="56" t="str">
        <f t="shared" si="43"/>
        <v>x</v>
      </c>
      <c r="CF62" s="56" t="str">
        <f t="shared" si="43"/>
        <v>x</v>
      </c>
      <c r="CG62" s="56" t="str">
        <f t="shared" si="43"/>
        <v>x</v>
      </c>
      <c r="CH62" s="56" t="str">
        <f t="shared" si="43"/>
        <v>x</v>
      </c>
      <c r="CI62" s="56" t="str">
        <f t="shared" si="43"/>
        <v>x</v>
      </c>
      <c r="CJ62" s="56" t="str">
        <f t="shared" si="43"/>
        <v>x</v>
      </c>
      <c r="CK62" s="56" t="str">
        <f t="shared" si="43"/>
        <v>x</v>
      </c>
      <c r="CL62" s="56" t="str">
        <f t="shared" si="43"/>
        <v>x</v>
      </c>
      <c r="CM62" s="56" t="str">
        <f t="shared" si="43"/>
        <v>x</v>
      </c>
      <c r="CN62" s="56" t="str">
        <f t="shared" si="43"/>
        <v>x</v>
      </c>
      <c r="CO62" s="56" t="str">
        <f t="shared" si="43"/>
        <v>x</v>
      </c>
      <c r="CP62" s="56" t="str">
        <f t="shared" si="42"/>
        <v>x</v>
      </c>
      <c r="CQ62" s="56" t="str">
        <f t="shared" si="42"/>
        <v>x</v>
      </c>
      <c r="CR62" s="56" t="str">
        <f t="shared" si="42"/>
        <v>x</v>
      </c>
      <c r="CS62" s="56" t="str">
        <f t="shared" si="42"/>
        <v>x</v>
      </c>
      <c r="CT62" s="56" t="str">
        <f t="shared" si="42"/>
        <v>x</v>
      </c>
      <c r="CU62" s="56" t="str">
        <f t="shared" si="42"/>
        <v>x</v>
      </c>
      <c r="CV62" s="56" t="str">
        <f t="shared" si="42"/>
        <v>x</v>
      </c>
      <c r="CW62" s="56" t="str">
        <f t="shared" si="42"/>
        <v>x</v>
      </c>
      <c r="CX62" s="56" t="str">
        <f t="shared" si="42"/>
        <v>x</v>
      </c>
      <c r="CY62" s="56" t="str">
        <f t="shared" si="42"/>
        <v>x</v>
      </c>
      <c r="CZ62" s="56" t="str">
        <f t="shared" si="42"/>
        <v>x</v>
      </c>
      <c r="DA62" s="56" t="str">
        <f t="shared" si="42"/>
        <v>x</v>
      </c>
      <c r="DB62" s="56" t="str">
        <f t="shared" si="42"/>
        <v>x</v>
      </c>
      <c r="DC62" s="56" t="str">
        <f t="shared" si="42"/>
        <v>x</v>
      </c>
      <c r="DD62" s="56" t="str">
        <f t="shared" si="42"/>
        <v>x</v>
      </c>
      <c r="DE62" s="56" t="str">
        <f t="shared" si="45"/>
        <v>x</v>
      </c>
      <c r="DF62" s="56" t="str">
        <f t="shared" si="45"/>
        <v>x</v>
      </c>
      <c r="DG62" s="56" t="str">
        <f t="shared" si="45"/>
        <v>x</v>
      </c>
      <c r="DH62" s="56" t="str">
        <f t="shared" si="45"/>
        <v>x</v>
      </c>
      <c r="DI62" s="56" t="str">
        <f t="shared" si="45"/>
        <v>x</v>
      </c>
      <c r="DJ62" s="56" t="str">
        <f t="shared" si="45"/>
        <v>x</v>
      </c>
      <c r="DK62" s="56" t="str">
        <f t="shared" si="45"/>
        <v>x</v>
      </c>
      <c r="DL62" s="56" t="str">
        <f t="shared" si="45"/>
        <v>x</v>
      </c>
      <c r="DM62" s="56" t="str">
        <f t="shared" si="45"/>
        <v>x</v>
      </c>
      <c r="DN62" s="56" t="str">
        <f t="shared" si="46"/>
        <v>x</v>
      </c>
      <c r="DO62" s="56" t="str">
        <f t="shared" si="46"/>
        <v>x</v>
      </c>
    </row>
    <row r="63" spans="1:120" s="18" customFormat="1" ht="45.75" customHeight="1">
      <c r="A63" s="52" t="s">
        <v>331</v>
      </c>
      <c r="B63" s="30" t="s">
        <v>122</v>
      </c>
      <c r="C63" s="29" t="s">
        <v>213</v>
      </c>
      <c r="D63" s="130" t="s">
        <v>268</v>
      </c>
      <c r="E63" s="23" t="s">
        <v>165</v>
      </c>
      <c r="F63" s="36" t="s">
        <v>3</v>
      </c>
      <c r="G63" s="37"/>
      <c r="H63" s="37">
        <v>17</v>
      </c>
      <c r="I63" s="37"/>
      <c r="J63" s="119"/>
      <c r="K63" s="56" t="str">
        <f t="shared" si="38"/>
        <v>x</v>
      </c>
      <c r="L63" s="56" t="str">
        <f t="shared" si="38"/>
        <v>x</v>
      </c>
      <c r="M63" s="56" t="str">
        <f t="shared" si="38"/>
        <v>x</v>
      </c>
      <c r="N63" s="56" t="str">
        <f t="shared" si="38"/>
        <v>x</v>
      </c>
      <c r="O63" s="56" t="str">
        <f t="shared" si="38"/>
        <v>x</v>
      </c>
      <c r="P63" s="56" t="str">
        <f t="shared" si="38"/>
        <v>x</v>
      </c>
      <c r="Q63" s="56" t="str">
        <f t="shared" si="38"/>
        <v>x</v>
      </c>
      <c r="R63" s="56" t="str">
        <f t="shared" si="38"/>
        <v>x</v>
      </c>
      <c r="S63" s="56" t="str">
        <f t="shared" si="38"/>
        <v>x</v>
      </c>
      <c r="T63" s="56" t="str">
        <f t="shared" si="38"/>
        <v>x</v>
      </c>
      <c r="U63" s="56" t="str">
        <f t="shared" si="39"/>
        <v>x</v>
      </c>
      <c r="V63" s="56" t="str">
        <f t="shared" si="39"/>
        <v>x</v>
      </c>
      <c r="W63" s="56" t="str">
        <f t="shared" si="39"/>
        <v>x</v>
      </c>
      <c r="X63" s="56" t="str">
        <f t="shared" si="39"/>
        <v>x</v>
      </c>
      <c r="Y63" s="56" t="str">
        <f t="shared" si="39"/>
        <v>x</v>
      </c>
      <c r="Z63" s="56" t="str">
        <f t="shared" si="39"/>
        <v>x</v>
      </c>
      <c r="AA63" s="56" t="str">
        <f t="shared" si="39"/>
        <v>x</v>
      </c>
      <c r="AB63" s="56" t="str">
        <f t="shared" si="39"/>
        <v>x</v>
      </c>
      <c r="AC63" s="56" t="str">
        <f t="shared" si="39"/>
        <v>x</v>
      </c>
      <c r="AD63" s="56" t="str">
        <f t="shared" si="39"/>
        <v>x</v>
      </c>
      <c r="AE63" s="56" t="str">
        <f t="shared" si="41"/>
        <v>x</v>
      </c>
      <c r="AF63" s="56" t="str">
        <f t="shared" si="41"/>
        <v>x</v>
      </c>
      <c r="AG63" s="56" t="str">
        <f t="shared" si="41"/>
        <v>x</v>
      </c>
      <c r="AH63" s="56" t="str">
        <f t="shared" si="41"/>
        <v>x</v>
      </c>
      <c r="AI63" s="56" t="str">
        <f t="shared" si="41"/>
        <v>x</v>
      </c>
      <c r="AJ63" s="56" t="str">
        <f t="shared" si="41"/>
        <v>x</v>
      </c>
      <c r="AK63" s="56" t="str">
        <f t="shared" si="41"/>
        <v>x</v>
      </c>
      <c r="AL63" s="56" t="str">
        <f t="shared" si="41"/>
        <v>x</v>
      </c>
      <c r="AM63" s="56" t="str">
        <f t="shared" si="41"/>
        <v>x</v>
      </c>
      <c r="AN63" s="56" t="str">
        <f t="shared" si="41"/>
        <v>x</v>
      </c>
      <c r="AO63" s="56" t="str">
        <f t="shared" si="41"/>
        <v>x</v>
      </c>
      <c r="AP63" s="56" t="str">
        <f t="shared" si="41"/>
        <v>x</v>
      </c>
      <c r="AQ63" s="56" t="str">
        <f t="shared" si="41"/>
        <v>x</v>
      </c>
      <c r="AR63" s="56" t="str">
        <f t="shared" si="41"/>
        <v>x</v>
      </c>
      <c r="AS63" s="56" t="str">
        <f t="shared" si="41"/>
        <v>x</v>
      </c>
      <c r="AT63" s="56" t="str">
        <f t="shared" si="41"/>
        <v>x</v>
      </c>
      <c r="AU63" s="56" t="str">
        <f t="shared" ref="AU63:BJ68" si="47">IFERROR(IF(SEARCH(AU$5,$D63),$F63,"-"),"x")</f>
        <v>x</v>
      </c>
      <c r="AV63" s="56" t="str">
        <f t="shared" si="47"/>
        <v>x</v>
      </c>
      <c r="AW63" s="56" t="str">
        <f t="shared" si="47"/>
        <v>x</v>
      </c>
      <c r="AX63" s="56" t="str">
        <f t="shared" si="47"/>
        <v>x</v>
      </c>
      <c r="AY63" s="56" t="str">
        <f t="shared" si="47"/>
        <v>x</v>
      </c>
      <c r="AZ63" s="56" t="str">
        <f t="shared" si="47"/>
        <v>x</v>
      </c>
      <c r="BA63" s="56" t="str">
        <f t="shared" si="47"/>
        <v>x</v>
      </c>
      <c r="BB63" s="56" t="str">
        <f t="shared" si="47"/>
        <v>x</v>
      </c>
      <c r="BC63" s="56" t="str">
        <f t="shared" si="47"/>
        <v>x</v>
      </c>
      <c r="BD63" s="56" t="str">
        <f t="shared" si="47"/>
        <v>x</v>
      </c>
      <c r="BE63" s="56" t="str">
        <f t="shared" si="47"/>
        <v>x</v>
      </c>
      <c r="BF63" s="56" t="str">
        <f t="shared" si="47"/>
        <v>x</v>
      </c>
      <c r="BG63" s="56" t="str">
        <f t="shared" si="47"/>
        <v>x</v>
      </c>
      <c r="BH63" s="56" t="str">
        <f t="shared" si="47"/>
        <v>x</v>
      </c>
      <c r="BI63" s="56" t="str">
        <f t="shared" si="47"/>
        <v>x</v>
      </c>
      <c r="BJ63" s="56" t="str">
        <f t="shared" si="47"/>
        <v>x</v>
      </c>
      <c r="BK63" s="56" t="str">
        <f t="shared" ref="BK63:BX68" si="48">IFERROR(IF(SEARCH(BK$5,$D63),$F63,"-"),"x")</f>
        <v>x</v>
      </c>
      <c r="BL63" s="56" t="str">
        <f t="shared" si="48"/>
        <v>x</v>
      </c>
      <c r="BM63" s="56" t="str">
        <f t="shared" si="48"/>
        <v>x</v>
      </c>
      <c r="BN63" s="56" t="str">
        <f t="shared" si="48"/>
        <v>x</v>
      </c>
      <c r="BO63" s="56" t="str">
        <f t="shared" si="48"/>
        <v>x</v>
      </c>
      <c r="BP63" s="56" t="str">
        <f t="shared" si="48"/>
        <v>x</v>
      </c>
      <c r="BQ63" s="56" t="str">
        <f t="shared" si="48"/>
        <v>x</v>
      </c>
      <c r="BR63" s="56" t="str">
        <f t="shared" si="48"/>
        <v>--</v>
      </c>
      <c r="BS63" s="56" t="str">
        <f t="shared" si="48"/>
        <v>x</v>
      </c>
      <c r="BT63" s="56" t="str">
        <f t="shared" si="48"/>
        <v>x</v>
      </c>
      <c r="BU63" s="56" t="str">
        <f t="shared" si="48"/>
        <v>x</v>
      </c>
      <c r="BV63" s="56" t="str">
        <f t="shared" si="48"/>
        <v>x</v>
      </c>
      <c r="BW63" s="56" t="str">
        <f t="shared" si="48"/>
        <v>x</v>
      </c>
      <c r="BX63" s="56" t="str">
        <f t="shared" si="48"/>
        <v>x</v>
      </c>
      <c r="BY63" s="56" t="str">
        <f t="shared" si="32"/>
        <v>x</v>
      </c>
      <c r="BZ63" s="56" t="str">
        <f t="shared" si="43"/>
        <v>x</v>
      </c>
      <c r="CA63" s="56" t="str">
        <f t="shared" si="43"/>
        <v>x</v>
      </c>
      <c r="CB63" s="56" t="str">
        <f t="shared" si="43"/>
        <v>x</v>
      </c>
      <c r="CC63" s="56" t="str">
        <f t="shared" si="43"/>
        <v>--</v>
      </c>
      <c r="CD63" s="56" t="str">
        <f t="shared" si="43"/>
        <v>x</v>
      </c>
      <c r="CE63" s="56" t="str">
        <f t="shared" si="43"/>
        <v>x</v>
      </c>
      <c r="CF63" s="56" t="str">
        <f t="shared" si="43"/>
        <v>x</v>
      </c>
      <c r="CG63" s="56" t="str">
        <f t="shared" si="43"/>
        <v>x</v>
      </c>
      <c r="CH63" s="56" t="str">
        <f t="shared" si="43"/>
        <v>x</v>
      </c>
      <c r="CI63" s="56" t="str">
        <f t="shared" si="43"/>
        <v>x</v>
      </c>
      <c r="CJ63" s="56" t="str">
        <f t="shared" si="43"/>
        <v>x</v>
      </c>
      <c r="CK63" s="56" t="str">
        <f t="shared" si="43"/>
        <v>x</v>
      </c>
      <c r="CL63" s="56" t="str">
        <f t="shared" si="43"/>
        <v>x</v>
      </c>
      <c r="CM63" s="56" t="str">
        <f t="shared" si="43"/>
        <v>x</v>
      </c>
      <c r="CN63" s="56" t="str">
        <f t="shared" si="43"/>
        <v>x</v>
      </c>
      <c r="CO63" s="56" t="str">
        <f t="shared" si="43"/>
        <v>x</v>
      </c>
      <c r="CP63" s="56" t="str">
        <f t="shared" si="42"/>
        <v>x</v>
      </c>
      <c r="CQ63" s="56" t="str">
        <f t="shared" si="42"/>
        <v>x</v>
      </c>
      <c r="CR63" s="56" t="str">
        <f t="shared" si="42"/>
        <v>x</v>
      </c>
      <c r="CS63" s="56" t="str">
        <f t="shared" si="42"/>
        <v>x</v>
      </c>
      <c r="CT63" s="56" t="str">
        <f t="shared" si="42"/>
        <v>x</v>
      </c>
      <c r="CU63" s="56" t="str">
        <f t="shared" si="42"/>
        <v>x</v>
      </c>
      <c r="CV63" s="56" t="str">
        <f t="shared" si="42"/>
        <v>x</v>
      </c>
      <c r="CW63" s="56" t="str">
        <f t="shared" si="42"/>
        <v>x</v>
      </c>
      <c r="CX63" s="56" t="str">
        <f t="shared" si="42"/>
        <v>x</v>
      </c>
      <c r="CY63" s="56" t="str">
        <f t="shared" si="42"/>
        <v>x</v>
      </c>
      <c r="CZ63" s="56" t="str">
        <f t="shared" si="42"/>
        <v>x</v>
      </c>
      <c r="DA63" s="56" t="str">
        <f t="shared" si="42"/>
        <v>x</v>
      </c>
      <c r="DB63" s="56" t="str">
        <f t="shared" si="42"/>
        <v>x</v>
      </c>
      <c r="DC63" s="56" t="str">
        <f t="shared" si="42"/>
        <v>x</v>
      </c>
      <c r="DD63" s="56" t="str">
        <f t="shared" si="42"/>
        <v>x</v>
      </c>
      <c r="DE63" s="56" t="str">
        <f t="shared" si="45"/>
        <v>x</v>
      </c>
      <c r="DF63" s="56" t="str">
        <f t="shared" si="45"/>
        <v>x</v>
      </c>
      <c r="DG63" s="56" t="str">
        <f t="shared" si="45"/>
        <v>x</v>
      </c>
      <c r="DH63" s="56" t="str">
        <f t="shared" si="45"/>
        <v>x</v>
      </c>
      <c r="DI63" s="56" t="str">
        <f t="shared" si="45"/>
        <v>x</v>
      </c>
      <c r="DJ63" s="56" t="str">
        <f t="shared" si="45"/>
        <v>x</v>
      </c>
      <c r="DK63" s="56" t="str">
        <f t="shared" si="45"/>
        <v>x</v>
      </c>
      <c r="DL63" s="56" t="str">
        <f t="shared" si="45"/>
        <v>x</v>
      </c>
      <c r="DM63" s="56" t="str">
        <f t="shared" si="45"/>
        <v>x</v>
      </c>
      <c r="DN63" s="56" t="str">
        <f t="shared" si="46"/>
        <v>x</v>
      </c>
      <c r="DO63" s="56" t="str">
        <f t="shared" si="46"/>
        <v>x</v>
      </c>
    </row>
    <row r="64" spans="1:120" s="15" customFormat="1" ht="43.8" thickBot="1">
      <c r="A64" s="52"/>
      <c r="B64" s="30" t="s">
        <v>123</v>
      </c>
      <c r="C64" s="29" t="s">
        <v>214</v>
      </c>
      <c r="D64" s="130" t="s">
        <v>269</v>
      </c>
      <c r="E64" s="23" t="s">
        <v>168</v>
      </c>
      <c r="F64" s="36" t="s">
        <v>3</v>
      </c>
      <c r="G64" s="37"/>
      <c r="H64" s="37">
        <v>17</v>
      </c>
      <c r="I64" s="37"/>
      <c r="J64" s="116"/>
      <c r="K64" s="56" t="str">
        <f t="shared" si="38"/>
        <v>x</v>
      </c>
      <c r="L64" s="56" t="str">
        <f t="shared" si="38"/>
        <v>x</v>
      </c>
      <c r="M64" s="56" t="str">
        <f t="shared" si="38"/>
        <v>x</v>
      </c>
      <c r="N64" s="56" t="str">
        <f t="shared" si="38"/>
        <v>x</v>
      </c>
      <c r="O64" s="56" t="str">
        <f t="shared" si="38"/>
        <v>x</v>
      </c>
      <c r="P64" s="56" t="str">
        <f t="shared" si="38"/>
        <v>x</v>
      </c>
      <c r="Q64" s="56" t="str">
        <f t="shared" si="38"/>
        <v>x</v>
      </c>
      <c r="R64" s="56" t="str">
        <f t="shared" si="38"/>
        <v>x</v>
      </c>
      <c r="S64" s="56" t="str">
        <f t="shared" si="38"/>
        <v>x</v>
      </c>
      <c r="T64" s="56" t="str">
        <f t="shared" si="38"/>
        <v>x</v>
      </c>
      <c r="U64" s="56" t="str">
        <f t="shared" si="39"/>
        <v>x</v>
      </c>
      <c r="V64" s="56" t="str">
        <f t="shared" si="39"/>
        <v>x</v>
      </c>
      <c r="W64" s="56" t="str">
        <f t="shared" si="39"/>
        <v>x</v>
      </c>
      <c r="X64" s="56" t="str">
        <f t="shared" si="39"/>
        <v>x</v>
      </c>
      <c r="Y64" s="56" t="str">
        <f t="shared" si="39"/>
        <v>x</v>
      </c>
      <c r="Z64" s="56" t="str">
        <f t="shared" si="39"/>
        <v>x</v>
      </c>
      <c r="AA64" s="56" t="str">
        <f t="shared" si="39"/>
        <v>x</v>
      </c>
      <c r="AB64" s="56" t="str">
        <f t="shared" si="39"/>
        <v>x</v>
      </c>
      <c r="AC64" s="56" t="str">
        <f t="shared" si="39"/>
        <v>x</v>
      </c>
      <c r="AD64" s="56" t="str">
        <f t="shared" si="39"/>
        <v>x</v>
      </c>
      <c r="AE64" s="56" t="str">
        <f t="shared" si="41"/>
        <v>x</v>
      </c>
      <c r="AF64" s="56" t="str">
        <f t="shared" si="41"/>
        <v>x</v>
      </c>
      <c r="AG64" s="56" t="str">
        <f t="shared" si="41"/>
        <v>x</v>
      </c>
      <c r="AH64" s="56" t="str">
        <f t="shared" si="41"/>
        <v>x</v>
      </c>
      <c r="AI64" s="56" t="str">
        <f t="shared" si="41"/>
        <v>x</v>
      </c>
      <c r="AJ64" s="56" t="str">
        <f t="shared" si="41"/>
        <v>x</v>
      </c>
      <c r="AK64" s="56" t="str">
        <f t="shared" si="41"/>
        <v>x</v>
      </c>
      <c r="AL64" s="56" t="str">
        <f t="shared" si="41"/>
        <v>x</v>
      </c>
      <c r="AM64" s="56" t="str">
        <f t="shared" si="41"/>
        <v>x</v>
      </c>
      <c r="AN64" s="56" t="str">
        <f t="shared" si="41"/>
        <v>x</v>
      </c>
      <c r="AO64" s="56" t="str">
        <f t="shared" si="41"/>
        <v>x</v>
      </c>
      <c r="AP64" s="56" t="str">
        <f t="shared" si="41"/>
        <v>x</v>
      </c>
      <c r="AQ64" s="56" t="str">
        <f t="shared" si="41"/>
        <v>x</v>
      </c>
      <c r="AR64" s="56" t="str">
        <f t="shared" si="41"/>
        <v>x</v>
      </c>
      <c r="AS64" s="56" t="str">
        <f t="shared" si="41"/>
        <v>x</v>
      </c>
      <c r="AT64" s="56" t="str">
        <f t="shared" si="41"/>
        <v>x</v>
      </c>
      <c r="AU64" s="56" t="str">
        <f t="shared" si="47"/>
        <v>x</v>
      </c>
      <c r="AV64" s="56" t="str">
        <f t="shared" si="47"/>
        <v>x</v>
      </c>
      <c r="AW64" s="56" t="str">
        <f t="shared" si="47"/>
        <v>x</v>
      </c>
      <c r="AX64" s="56" t="str">
        <f t="shared" si="47"/>
        <v>x</v>
      </c>
      <c r="AY64" s="56" t="str">
        <f t="shared" si="47"/>
        <v>x</v>
      </c>
      <c r="AZ64" s="56" t="str">
        <f t="shared" si="47"/>
        <v>x</v>
      </c>
      <c r="BA64" s="56" t="str">
        <f t="shared" si="47"/>
        <v>x</v>
      </c>
      <c r="BB64" s="56" t="str">
        <f t="shared" si="47"/>
        <v>x</v>
      </c>
      <c r="BC64" s="56" t="str">
        <f t="shared" si="47"/>
        <v>x</v>
      </c>
      <c r="BD64" s="56" t="str">
        <f t="shared" si="47"/>
        <v>x</v>
      </c>
      <c r="BE64" s="56" t="str">
        <f t="shared" si="47"/>
        <v>x</v>
      </c>
      <c r="BF64" s="56" t="str">
        <f t="shared" si="47"/>
        <v>x</v>
      </c>
      <c r="BG64" s="56" t="str">
        <f t="shared" si="47"/>
        <v>x</v>
      </c>
      <c r="BH64" s="56" t="str">
        <f t="shared" si="47"/>
        <v>x</v>
      </c>
      <c r="BI64" s="56" t="str">
        <f t="shared" si="47"/>
        <v>x</v>
      </c>
      <c r="BJ64" s="56" t="str">
        <f t="shared" si="47"/>
        <v>x</v>
      </c>
      <c r="BK64" s="56" t="str">
        <f t="shared" si="48"/>
        <v>x</v>
      </c>
      <c r="BL64" s="56" t="str">
        <f t="shared" si="48"/>
        <v>x</v>
      </c>
      <c r="BM64" s="56" t="str">
        <f t="shared" si="48"/>
        <v>x</v>
      </c>
      <c r="BN64" s="56" t="str">
        <f t="shared" si="48"/>
        <v>x</v>
      </c>
      <c r="BO64" s="56" t="str">
        <f t="shared" si="48"/>
        <v>x</v>
      </c>
      <c r="BP64" s="56" t="str">
        <f t="shared" si="48"/>
        <v>x</v>
      </c>
      <c r="BQ64" s="56" t="str">
        <f t="shared" si="48"/>
        <v>x</v>
      </c>
      <c r="BR64" s="56" t="str">
        <f t="shared" si="48"/>
        <v>x</v>
      </c>
      <c r="BS64" s="56" t="str">
        <f t="shared" si="48"/>
        <v>--</v>
      </c>
      <c r="BT64" s="56" t="str">
        <f t="shared" si="48"/>
        <v>x</v>
      </c>
      <c r="BU64" s="56" t="str">
        <f t="shared" si="48"/>
        <v>x</v>
      </c>
      <c r="BV64" s="56" t="str">
        <f t="shared" si="48"/>
        <v>x</v>
      </c>
      <c r="BW64" s="56" t="str">
        <f t="shared" si="48"/>
        <v>x</v>
      </c>
      <c r="BX64" s="56" t="str">
        <f t="shared" si="48"/>
        <v>x</v>
      </c>
      <c r="BY64" s="56" t="str">
        <f t="shared" si="32"/>
        <v>x</v>
      </c>
      <c r="BZ64" s="56" t="str">
        <f t="shared" si="43"/>
        <v>x</v>
      </c>
      <c r="CA64" s="56" t="str">
        <f t="shared" si="43"/>
        <v>x</v>
      </c>
      <c r="CB64" s="56" t="str">
        <f t="shared" si="43"/>
        <v>x</v>
      </c>
      <c r="CC64" s="56" t="str">
        <f t="shared" si="43"/>
        <v>x</v>
      </c>
      <c r="CD64" s="56" t="str">
        <f t="shared" si="43"/>
        <v>x</v>
      </c>
      <c r="CE64" s="56" t="str">
        <f t="shared" si="43"/>
        <v>x</v>
      </c>
      <c r="CF64" s="56" t="str">
        <f t="shared" si="43"/>
        <v>--</v>
      </c>
      <c r="CG64" s="56" t="str">
        <f t="shared" si="43"/>
        <v>x</v>
      </c>
      <c r="CH64" s="56" t="str">
        <f t="shared" si="43"/>
        <v>x</v>
      </c>
      <c r="CI64" s="56" t="str">
        <f t="shared" si="43"/>
        <v>x</v>
      </c>
      <c r="CJ64" s="56" t="str">
        <f t="shared" si="43"/>
        <v>x</v>
      </c>
      <c r="CK64" s="56" t="str">
        <f t="shared" si="43"/>
        <v>x</v>
      </c>
      <c r="CL64" s="56" t="str">
        <f t="shared" si="43"/>
        <v>x</v>
      </c>
      <c r="CM64" s="56" t="str">
        <f t="shared" si="43"/>
        <v>x</v>
      </c>
      <c r="CN64" s="56" t="str">
        <f t="shared" si="43"/>
        <v>x</v>
      </c>
      <c r="CO64" s="56" t="str">
        <f t="shared" si="43"/>
        <v>x</v>
      </c>
      <c r="CP64" s="56" t="str">
        <f t="shared" si="42"/>
        <v>x</v>
      </c>
      <c r="CQ64" s="56" t="str">
        <f t="shared" si="42"/>
        <v>x</v>
      </c>
      <c r="CR64" s="56" t="str">
        <f t="shared" si="42"/>
        <v>x</v>
      </c>
      <c r="CS64" s="56" t="str">
        <f t="shared" si="42"/>
        <v>x</v>
      </c>
      <c r="CT64" s="56" t="str">
        <f t="shared" si="42"/>
        <v>x</v>
      </c>
      <c r="CU64" s="56" t="str">
        <f t="shared" si="42"/>
        <v>x</v>
      </c>
      <c r="CV64" s="56" t="str">
        <f t="shared" si="42"/>
        <v>x</v>
      </c>
      <c r="CW64" s="56" t="str">
        <f t="shared" si="42"/>
        <v>x</v>
      </c>
      <c r="CX64" s="56" t="str">
        <f t="shared" si="42"/>
        <v>x</v>
      </c>
      <c r="CY64" s="56" t="str">
        <f t="shared" si="42"/>
        <v>x</v>
      </c>
      <c r="CZ64" s="56" t="str">
        <f t="shared" si="42"/>
        <v>x</v>
      </c>
      <c r="DA64" s="56" t="str">
        <f t="shared" si="42"/>
        <v>x</v>
      </c>
      <c r="DB64" s="56" t="str">
        <f t="shared" si="42"/>
        <v>x</v>
      </c>
      <c r="DC64" s="56" t="str">
        <f t="shared" si="42"/>
        <v>x</v>
      </c>
      <c r="DD64" s="56" t="str">
        <f t="shared" si="42"/>
        <v>x</v>
      </c>
      <c r="DE64" s="56" t="str">
        <f t="shared" si="45"/>
        <v>x</v>
      </c>
      <c r="DF64" s="56" t="str">
        <f t="shared" si="45"/>
        <v>x</v>
      </c>
      <c r="DG64" s="56" t="str">
        <f t="shared" si="45"/>
        <v>x</v>
      </c>
      <c r="DH64" s="56" t="str">
        <f t="shared" si="45"/>
        <v>x</v>
      </c>
      <c r="DI64" s="56" t="str">
        <f t="shared" si="45"/>
        <v>x</v>
      </c>
      <c r="DJ64" s="56" t="str">
        <f t="shared" si="45"/>
        <v>x</v>
      </c>
      <c r="DK64" s="56" t="str">
        <f t="shared" si="45"/>
        <v>x</v>
      </c>
      <c r="DL64" s="56" t="str">
        <f t="shared" si="45"/>
        <v>x</v>
      </c>
      <c r="DM64" s="56" t="str">
        <f t="shared" si="45"/>
        <v>x</v>
      </c>
      <c r="DN64" s="56" t="str">
        <f t="shared" si="46"/>
        <v>x</v>
      </c>
      <c r="DO64" s="56" t="str">
        <f t="shared" si="46"/>
        <v>x</v>
      </c>
      <c r="DP64" s="56"/>
    </row>
    <row r="65" spans="1:119" s="18" customFormat="1" ht="33.75" customHeight="1">
      <c r="A65" s="52"/>
      <c r="B65" s="30" t="s">
        <v>12</v>
      </c>
      <c r="C65" s="29" t="s">
        <v>215</v>
      </c>
      <c r="D65" s="130" t="s">
        <v>270</v>
      </c>
      <c r="E65" s="23" t="s">
        <v>167</v>
      </c>
      <c r="F65" s="36" t="s">
        <v>3</v>
      </c>
      <c r="G65" s="37"/>
      <c r="H65" s="37">
        <v>17</v>
      </c>
      <c r="I65" s="37"/>
      <c r="J65" s="119"/>
      <c r="K65" s="56" t="str">
        <f t="shared" si="38"/>
        <v>x</v>
      </c>
      <c r="L65" s="56" t="str">
        <f t="shared" si="38"/>
        <v>x</v>
      </c>
      <c r="M65" s="56" t="str">
        <f t="shared" si="38"/>
        <v>x</v>
      </c>
      <c r="N65" s="56" t="str">
        <f t="shared" si="38"/>
        <v>x</v>
      </c>
      <c r="O65" s="56" t="str">
        <f t="shared" si="38"/>
        <v>x</v>
      </c>
      <c r="P65" s="56" t="str">
        <f t="shared" si="38"/>
        <v>x</v>
      </c>
      <c r="Q65" s="56" t="str">
        <f t="shared" si="38"/>
        <v>x</v>
      </c>
      <c r="R65" s="56" t="str">
        <f t="shared" si="38"/>
        <v>x</v>
      </c>
      <c r="S65" s="56" t="str">
        <f t="shared" si="38"/>
        <v>x</v>
      </c>
      <c r="T65" s="56" t="str">
        <f t="shared" si="38"/>
        <v>x</v>
      </c>
      <c r="U65" s="56" t="str">
        <f t="shared" si="39"/>
        <v>x</v>
      </c>
      <c r="V65" s="56" t="str">
        <f t="shared" si="39"/>
        <v>x</v>
      </c>
      <c r="W65" s="56" t="str">
        <f t="shared" si="39"/>
        <v>x</v>
      </c>
      <c r="X65" s="56" t="str">
        <f t="shared" si="39"/>
        <v>x</v>
      </c>
      <c r="Y65" s="56" t="str">
        <f t="shared" si="39"/>
        <v>x</v>
      </c>
      <c r="Z65" s="56" t="str">
        <f t="shared" si="39"/>
        <v>x</v>
      </c>
      <c r="AA65" s="56" t="str">
        <f t="shared" si="39"/>
        <v>x</v>
      </c>
      <c r="AB65" s="56" t="str">
        <f t="shared" si="39"/>
        <v>x</v>
      </c>
      <c r="AC65" s="56" t="str">
        <f t="shared" si="39"/>
        <v>x</v>
      </c>
      <c r="AD65" s="56" t="str">
        <f t="shared" si="39"/>
        <v>x</v>
      </c>
      <c r="AE65" s="56" t="str">
        <f t="shared" si="41"/>
        <v>x</v>
      </c>
      <c r="AF65" s="56" t="str">
        <f t="shared" si="41"/>
        <v>x</v>
      </c>
      <c r="AG65" s="56" t="str">
        <f t="shared" si="41"/>
        <v>x</v>
      </c>
      <c r="AH65" s="56" t="str">
        <f t="shared" si="41"/>
        <v>x</v>
      </c>
      <c r="AI65" s="56" t="str">
        <f t="shared" ref="AI65:AX68" si="49">IFERROR(IF(SEARCH(AI$5,$D65),$F65,"-"),"x")</f>
        <v>x</v>
      </c>
      <c r="AJ65" s="56" t="str">
        <f t="shared" si="49"/>
        <v>x</v>
      </c>
      <c r="AK65" s="56" t="str">
        <f t="shared" si="49"/>
        <v>x</v>
      </c>
      <c r="AL65" s="56" t="str">
        <f t="shared" si="49"/>
        <v>x</v>
      </c>
      <c r="AM65" s="56" t="str">
        <f t="shared" si="49"/>
        <v>x</v>
      </c>
      <c r="AN65" s="56" t="str">
        <f t="shared" si="49"/>
        <v>x</v>
      </c>
      <c r="AO65" s="56" t="str">
        <f t="shared" si="49"/>
        <v>x</v>
      </c>
      <c r="AP65" s="56" t="str">
        <f t="shared" si="49"/>
        <v>x</v>
      </c>
      <c r="AQ65" s="56" t="str">
        <f t="shared" si="49"/>
        <v>x</v>
      </c>
      <c r="AR65" s="56" t="str">
        <f t="shared" si="49"/>
        <v>x</v>
      </c>
      <c r="AS65" s="56" t="str">
        <f t="shared" si="49"/>
        <v>x</v>
      </c>
      <c r="AT65" s="56" t="str">
        <f t="shared" si="49"/>
        <v>x</v>
      </c>
      <c r="AU65" s="56" t="str">
        <f t="shared" si="49"/>
        <v>x</v>
      </c>
      <c r="AV65" s="56" t="str">
        <f t="shared" si="49"/>
        <v>x</v>
      </c>
      <c r="AW65" s="56" t="str">
        <f t="shared" si="49"/>
        <v>x</v>
      </c>
      <c r="AX65" s="56" t="str">
        <f t="shared" si="49"/>
        <v>x</v>
      </c>
      <c r="AY65" s="56" t="str">
        <f t="shared" si="47"/>
        <v>x</v>
      </c>
      <c r="AZ65" s="56" t="str">
        <f t="shared" si="47"/>
        <v>x</v>
      </c>
      <c r="BA65" s="56" t="str">
        <f t="shared" si="47"/>
        <v>x</v>
      </c>
      <c r="BB65" s="56" t="str">
        <f t="shared" si="47"/>
        <v>x</v>
      </c>
      <c r="BC65" s="56" t="str">
        <f t="shared" si="47"/>
        <v>x</v>
      </c>
      <c r="BD65" s="56" t="str">
        <f t="shared" si="47"/>
        <v>x</v>
      </c>
      <c r="BE65" s="56" t="str">
        <f t="shared" si="47"/>
        <v>x</v>
      </c>
      <c r="BF65" s="56" t="str">
        <f t="shared" si="47"/>
        <v>x</v>
      </c>
      <c r="BG65" s="56" t="str">
        <f t="shared" si="47"/>
        <v>x</v>
      </c>
      <c r="BH65" s="56" t="str">
        <f t="shared" si="47"/>
        <v>x</v>
      </c>
      <c r="BI65" s="56" t="str">
        <f t="shared" si="47"/>
        <v>x</v>
      </c>
      <c r="BJ65" s="56" t="str">
        <f t="shared" si="47"/>
        <v>x</v>
      </c>
      <c r="BK65" s="56" t="str">
        <f t="shared" si="48"/>
        <v>x</v>
      </c>
      <c r="BL65" s="56" t="str">
        <f t="shared" si="48"/>
        <v>x</v>
      </c>
      <c r="BM65" s="56" t="str">
        <f t="shared" si="48"/>
        <v>x</v>
      </c>
      <c r="BN65" s="56" t="str">
        <f t="shared" si="48"/>
        <v>x</v>
      </c>
      <c r="BO65" s="56" t="str">
        <f t="shared" si="48"/>
        <v>x</v>
      </c>
      <c r="BP65" s="56" t="str">
        <f t="shared" si="48"/>
        <v>x</v>
      </c>
      <c r="BQ65" s="56" t="str">
        <f t="shared" si="48"/>
        <v>x</v>
      </c>
      <c r="BR65" s="56" t="str">
        <f t="shared" si="48"/>
        <v>x</v>
      </c>
      <c r="BS65" s="56" t="str">
        <f t="shared" si="48"/>
        <v>x</v>
      </c>
      <c r="BT65" s="56" t="str">
        <f t="shared" si="48"/>
        <v>--</v>
      </c>
      <c r="BU65" s="56" t="str">
        <f t="shared" si="48"/>
        <v>x</v>
      </c>
      <c r="BV65" s="56" t="str">
        <f t="shared" si="48"/>
        <v>x</v>
      </c>
      <c r="BW65" s="56" t="str">
        <f t="shared" si="48"/>
        <v>x</v>
      </c>
      <c r="BX65" s="56" t="str">
        <f t="shared" si="48"/>
        <v>x</v>
      </c>
      <c r="BY65" s="56" t="str">
        <f t="shared" si="32"/>
        <v>x</v>
      </c>
      <c r="BZ65" s="56" t="str">
        <f t="shared" si="43"/>
        <v>x</v>
      </c>
      <c r="CA65" s="56" t="str">
        <f t="shared" si="43"/>
        <v>x</v>
      </c>
      <c r="CB65" s="56" t="str">
        <f t="shared" si="43"/>
        <v>x</v>
      </c>
      <c r="CC65" s="56" t="str">
        <f t="shared" si="43"/>
        <v>x</v>
      </c>
      <c r="CD65" s="56" t="str">
        <f t="shared" si="43"/>
        <v>x</v>
      </c>
      <c r="CE65" s="56" t="str">
        <f t="shared" si="43"/>
        <v>--</v>
      </c>
      <c r="CF65" s="56" t="str">
        <f t="shared" si="43"/>
        <v>x</v>
      </c>
      <c r="CG65" s="56" t="str">
        <f t="shared" si="43"/>
        <v>x</v>
      </c>
      <c r="CH65" s="56" t="str">
        <f t="shared" si="43"/>
        <v>x</v>
      </c>
      <c r="CI65" s="56" t="str">
        <f t="shared" si="43"/>
        <v>x</v>
      </c>
      <c r="CJ65" s="56" t="str">
        <f t="shared" si="43"/>
        <v>x</v>
      </c>
      <c r="CK65" s="56" t="str">
        <f t="shared" si="43"/>
        <v>x</v>
      </c>
      <c r="CL65" s="56" t="str">
        <f t="shared" si="43"/>
        <v>x</v>
      </c>
      <c r="CM65" s="56" t="str">
        <f t="shared" si="43"/>
        <v>x</v>
      </c>
      <c r="CN65" s="56" t="str">
        <f t="shared" si="43"/>
        <v>x</v>
      </c>
      <c r="CO65" s="56" t="str">
        <f t="shared" si="43"/>
        <v>x</v>
      </c>
      <c r="CP65" s="56" t="str">
        <f t="shared" si="42"/>
        <v>x</v>
      </c>
      <c r="CQ65" s="56" t="str">
        <f t="shared" si="42"/>
        <v>x</v>
      </c>
      <c r="CR65" s="56" t="str">
        <f t="shared" si="42"/>
        <v>x</v>
      </c>
      <c r="CS65" s="56" t="str">
        <f t="shared" si="42"/>
        <v>x</v>
      </c>
      <c r="CT65" s="56" t="str">
        <f t="shared" si="42"/>
        <v>x</v>
      </c>
      <c r="CU65" s="56" t="str">
        <f t="shared" si="42"/>
        <v>x</v>
      </c>
      <c r="CV65" s="56" t="str">
        <f t="shared" si="42"/>
        <v>x</v>
      </c>
      <c r="CW65" s="56" t="str">
        <f t="shared" si="42"/>
        <v>x</v>
      </c>
      <c r="CX65" s="56" t="str">
        <f t="shared" si="42"/>
        <v>x</v>
      </c>
      <c r="CY65" s="56" t="str">
        <f t="shared" si="42"/>
        <v>x</v>
      </c>
      <c r="CZ65" s="56" t="str">
        <f t="shared" si="42"/>
        <v>x</v>
      </c>
      <c r="DA65" s="56" t="str">
        <f t="shared" si="42"/>
        <v>x</v>
      </c>
      <c r="DB65" s="56" t="str">
        <f t="shared" si="42"/>
        <v>x</v>
      </c>
      <c r="DC65" s="56" t="str">
        <f t="shared" si="42"/>
        <v>x</v>
      </c>
      <c r="DD65" s="56" t="str">
        <f t="shared" si="42"/>
        <v>x</v>
      </c>
      <c r="DE65" s="56" t="str">
        <f t="shared" si="45"/>
        <v>x</v>
      </c>
      <c r="DF65" s="56" t="str">
        <f t="shared" si="45"/>
        <v>x</v>
      </c>
      <c r="DG65" s="56" t="str">
        <f t="shared" si="45"/>
        <v>x</v>
      </c>
      <c r="DH65" s="56" t="str">
        <f t="shared" si="45"/>
        <v>x</v>
      </c>
      <c r="DI65" s="56" t="str">
        <f t="shared" si="45"/>
        <v>x</v>
      </c>
      <c r="DJ65" s="56" t="str">
        <f t="shared" si="45"/>
        <v>x</v>
      </c>
      <c r="DK65" s="56" t="str">
        <f t="shared" si="45"/>
        <v>x</v>
      </c>
      <c r="DL65" s="56" t="str">
        <f t="shared" si="45"/>
        <v>x</v>
      </c>
      <c r="DM65" s="56" t="str">
        <f t="shared" si="45"/>
        <v>x</v>
      </c>
      <c r="DN65" s="56" t="str">
        <f t="shared" si="46"/>
        <v>x</v>
      </c>
      <c r="DO65" s="56" t="str">
        <f t="shared" si="46"/>
        <v>x</v>
      </c>
    </row>
    <row r="66" spans="1:119" ht="28.8">
      <c r="A66" s="52"/>
      <c r="B66" s="30" t="s">
        <v>124</v>
      </c>
      <c r="C66" s="29" t="s">
        <v>332</v>
      </c>
      <c r="D66" s="130" t="s">
        <v>333</v>
      </c>
      <c r="E66" s="135" t="s">
        <v>340</v>
      </c>
      <c r="F66" s="36" t="s">
        <v>3</v>
      </c>
      <c r="G66" s="37"/>
      <c r="H66" s="37">
        <v>17</v>
      </c>
      <c r="I66" s="37"/>
      <c r="J66" s="119"/>
      <c r="K66" s="56" t="str">
        <f t="shared" si="38"/>
        <v>x</v>
      </c>
      <c r="L66" s="56" t="str">
        <f t="shared" si="38"/>
        <v>x</v>
      </c>
      <c r="M66" s="56" t="str">
        <f t="shared" si="38"/>
        <v>x</v>
      </c>
      <c r="N66" s="56" t="str">
        <f t="shared" si="38"/>
        <v>x</v>
      </c>
      <c r="O66" s="56" t="str">
        <f t="shared" si="38"/>
        <v>x</v>
      </c>
      <c r="P66" s="56" t="str">
        <f t="shared" si="38"/>
        <v>x</v>
      </c>
      <c r="Q66" s="56" t="str">
        <f t="shared" si="38"/>
        <v>x</v>
      </c>
      <c r="R66" s="56" t="str">
        <f t="shared" si="38"/>
        <v>x</v>
      </c>
      <c r="S66" s="56" t="str">
        <f t="shared" si="38"/>
        <v>x</v>
      </c>
      <c r="T66" s="56" t="str">
        <f t="shared" si="38"/>
        <v>x</v>
      </c>
      <c r="U66" s="56" t="str">
        <f t="shared" si="39"/>
        <v>x</v>
      </c>
      <c r="V66" s="56" t="str">
        <f t="shared" si="39"/>
        <v>x</v>
      </c>
      <c r="W66" s="56" t="str">
        <f t="shared" si="39"/>
        <v>x</v>
      </c>
      <c r="X66" s="56" t="str">
        <f t="shared" si="39"/>
        <v>x</v>
      </c>
      <c r="Y66" s="56" t="str">
        <f t="shared" si="39"/>
        <v>x</v>
      </c>
      <c r="Z66" s="56" t="str">
        <f t="shared" si="39"/>
        <v>x</v>
      </c>
      <c r="AA66" s="56" t="str">
        <f t="shared" si="39"/>
        <v>x</v>
      </c>
      <c r="AB66" s="56" t="str">
        <f t="shared" si="39"/>
        <v>x</v>
      </c>
      <c r="AC66" s="56" t="str">
        <f t="shared" si="39"/>
        <v>x</v>
      </c>
      <c r="AD66" s="56" t="str">
        <f t="shared" si="39"/>
        <v>x</v>
      </c>
      <c r="AE66" s="56" t="str">
        <f t="shared" si="39"/>
        <v>x</v>
      </c>
      <c r="AF66" s="56" t="str">
        <f t="shared" si="39"/>
        <v>x</v>
      </c>
      <c r="AG66" s="56" t="str">
        <f t="shared" si="39"/>
        <v>x</v>
      </c>
      <c r="AH66" s="56" t="str">
        <f t="shared" si="39"/>
        <v>x</v>
      </c>
      <c r="AI66" s="56" t="str">
        <f t="shared" si="39"/>
        <v>x</v>
      </c>
      <c r="AJ66" s="56" t="str">
        <f t="shared" si="39"/>
        <v>x</v>
      </c>
      <c r="AK66" s="56" t="str">
        <f t="shared" si="49"/>
        <v>x</v>
      </c>
      <c r="AL66" s="56" t="str">
        <f t="shared" si="49"/>
        <v>x</v>
      </c>
      <c r="AM66" s="56" t="str">
        <f t="shared" si="49"/>
        <v>x</v>
      </c>
      <c r="AN66" s="56" t="str">
        <f t="shared" si="49"/>
        <v>x</v>
      </c>
      <c r="AO66" s="56" t="str">
        <f t="shared" si="49"/>
        <v>x</v>
      </c>
      <c r="AP66" s="56" t="str">
        <f t="shared" si="49"/>
        <v>x</v>
      </c>
      <c r="AQ66" s="56" t="str">
        <f t="shared" si="49"/>
        <v>x</v>
      </c>
      <c r="AR66" s="56" t="str">
        <f t="shared" si="49"/>
        <v>x</v>
      </c>
      <c r="AS66" s="56" t="str">
        <f t="shared" si="49"/>
        <v>x</v>
      </c>
      <c r="AT66" s="56" t="str">
        <f t="shared" si="49"/>
        <v>x</v>
      </c>
      <c r="AU66" s="56" t="str">
        <f t="shared" si="49"/>
        <v>x</v>
      </c>
      <c r="AV66" s="56" t="str">
        <f t="shared" si="49"/>
        <v>x</v>
      </c>
      <c r="AW66" s="56" t="str">
        <f t="shared" si="49"/>
        <v>x</v>
      </c>
      <c r="AX66" s="56" t="str">
        <f t="shared" si="49"/>
        <v>x</v>
      </c>
      <c r="AY66" s="56" t="str">
        <f t="shared" si="47"/>
        <v>x</v>
      </c>
      <c r="AZ66" s="56" t="str">
        <f t="shared" si="47"/>
        <v>x</v>
      </c>
      <c r="BA66" s="56" t="str">
        <f t="shared" si="47"/>
        <v>x</v>
      </c>
      <c r="BB66" s="56" t="str">
        <f t="shared" si="47"/>
        <v>x</v>
      </c>
      <c r="BC66" s="56" t="str">
        <f t="shared" si="47"/>
        <v>x</v>
      </c>
      <c r="BD66" s="56" t="str">
        <f t="shared" si="47"/>
        <v>x</v>
      </c>
      <c r="BE66" s="56" t="str">
        <f t="shared" si="47"/>
        <v>x</v>
      </c>
      <c r="BF66" s="56" t="str">
        <f t="shared" si="47"/>
        <v>x</v>
      </c>
      <c r="BG66" s="56" t="str">
        <f t="shared" si="47"/>
        <v>x</v>
      </c>
      <c r="BH66" s="56" t="str">
        <f t="shared" si="47"/>
        <v>x</v>
      </c>
      <c r="BI66" s="56" t="str">
        <f t="shared" si="47"/>
        <v>x</v>
      </c>
      <c r="BJ66" s="56" t="str">
        <f t="shared" si="47"/>
        <v>x</v>
      </c>
      <c r="BK66" s="56" t="str">
        <f t="shared" si="48"/>
        <v>x</v>
      </c>
      <c r="BL66" s="56" t="str">
        <f t="shared" si="48"/>
        <v>x</v>
      </c>
      <c r="BM66" s="56" t="str">
        <f t="shared" si="48"/>
        <v>x</v>
      </c>
      <c r="BN66" s="56" t="str">
        <f t="shared" si="48"/>
        <v>x</v>
      </c>
      <c r="BO66" s="56" t="str">
        <f t="shared" si="48"/>
        <v>x</v>
      </c>
      <c r="BP66" s="56" t="str">
        <f t="shared" si="48"/>
        <v>x</v>
      </c>
      <c r="BQ66" s="56" t="str">
        <f t="shared" si="48"/>
        <v>x</v>
      </c>
      <c r="BR66" s="56" t="str">
        <f t="shared" si="48"/>
        <v>x</v>
      </c>
      <c r="BS66" s="56" t="str">
        <f t="shared" si="48"/>
        <v>x</v>
      </c>
      <c r="BT66" s="56" t="str">
        <f t="shared" si="48"/>
        <v>x</v>
      </c>
      <c r="BU66" s="56" t="str">
        <f t="shared" si="48"/>
        <v>--</v>
      </c>
      <c r="BV66" s="56" t="str">
        <f t="shared" si="48"/>
        <v>x</v>
      </c>
      <c r="BW66" s="56" t="str">
        <f t="shared" si="48"/>
        <v>x</v>
      </c>
      <c r="BX66" s="56" t="str">
        <f t="shared" si="48"/>
        <v>x</v>
      </c>
      <c r="BY66" s="56" t="str">
        <f t="shared" si="32"/>
        <v>x</v>
      </c>
      <c r="BZ66" s="56" t="str">
        <f t="shared" si="43"/>
        <v>x</v>
      </c>
      <c r="CA66" s="56" t="str">
        <f t="shared" si="43"/>
        <v>x</v>
      </c>
      <c r="CB66" s="56" t="str">
        <f t="shared" si="43"/>
        <v>x</v>
      </c>
      <c r="CC66" s="56" t="str">
        <f t="shared" si="43"/>
        <v>x</v>
      </c>
      <c r="CD66" s="56" t="str">
        <f t="shared" si="43"/>
        <v>x</v>
      </c>
      <c r="CE66" s="56" t="str">
        <f t="shared" si="43"/>
        <v>x</v>
      </c>
      <c r="CF66" s="56" t="str">
        <f t="shared" si="43"/>
        <v>x</v>
      </c>
      <c r="CG66" s="56" t="str">
        <f t="shared" si="43"/>
        <v>x</v>
      </c>
      <c r="CH66" s="56" t="str">
        <f t="shared" si="43"/>
        <v>x</v>
      </c>
      <c r="CI66" s="56" t="str">
        <f t="shared" si="43"/>
        <v>x</v>
      </c>
      <c r="CJ66" s="56" t="str">
        <f t="shared" si="43"/>
        <v>x</v>
      </c>
      <c r="CK66" s="56" t="str">
        <f t="shared" si="43"/>
        <v>x</v>
      </c>
      <c r="CL66" s="56" t="str">
        <f t="shared" si="43"/>
        <v>x</v>
      </c>
      <c r="CM66" s="56" t="str">
        <f t="shared" si="43"/>
        <v>x</v>
      </c>
      <c r="CN66" s="56" t="str">
        <f t="shared" si="43"/>
        <v>x</v>
      </c>
      <c r="CO66" s="56" t="str">
        <f t="shared" si="43"/>
        <v>x</v>
      </c>
      <c r="CP66" s="56" t="str">
        <f t="shared" si="42"/>
        <v>x</v>
      </c>
      <c r="CQ66" s="56" t="str">
        <f t="shared" si="42"/>
        <v>x</v>
      </c>
      <c r="CR66" s="56" t="str">
        <f t="shared" si="42"/>
        <v>x</v>
      </c>
      <c r="CS66" s="56" t="str">
        <f t="shared" si="42"/>
        <v>x</v>
      </c>
      <c r="CT66" s="56" t="str">
        <f t="shared" si="42"/>
        <v>x</v>
      </c>
      <c r="CU66" s="56" t="str">
        <f t="shared" si="42"/>
        <v>x</v>
      </c>
      <c r="CV66" s="56" t="str">
        <f t="shared" si="42"/>
        <v>x</v>
      </c>
      <c r="CW66" s="56" t="str">
        <f t="shared" si="42"/>
        <v>x</v>
      </c>
      <c r="CX66" s="56" t="str">
        <f t="shared" si="42"/>
        <v>x</v>
      </c>
      <c r="CY66" s="56" t="str">
        <f t="shared" si="42"/>
        <v>x</v>
      </c>
      <c r="CZ66" s="56" t="str">
        <f t="shared" si="42"/>
        <v>x</v>
      </c>
      <c r="DA66" s="56" t="str">
        <f t="shared" si="42"/>
        <v>x</v>
      </c>
      <c r="DB66" s="56" t="str">
        <f t="shared" si="42"/>
        <v>x</v>
      </c>
      <c r="DC66" s="56" t="str">
        <f t="shared" si="42"/>
        <v>x</v>
      </c>
      <c r="DD66" s="56" t="str">
        <f t="shared" si="42"/>
        <v>x</v>
      </c>
      <c r="DE66" s="56" t="str">
        <f t="shared" si="45"/>
        <v>x</v>
      </c>
      <c r="DF66" s="56" t="str">
        <f t="shared" si="45"/>
        <v>x</v>
      </c>
      <c r="DG66" s="56" t="str">
        <f t="shared" si="45"/>
        <v>x</v>
      </c>
      <c r="DH66" s="56" t="str">
        <f t="shared" si="45"/>
        <v>x</v>
      </c>
      <c r="DI66" s="56" t="str">
        <f t="shared" si="45"/>
        <v>x</v>
      </c>
      <c r="DJ66" s="56" t="str">
        <f t="shared" si="45"/>
        <v>x</v>
      </c>
      <c r="DK66" s="56" t="str">
        <f t="shared" si="45"/>
        <v>x</v>
      </c>
      <c r="DL66" s="56" t="str">
        <f t="shared" si="45"/>
        <v>x</v>
      </c>
      <c r="DM66" s="56" t="str">
        <f t="shared" si="45"/>
        <v>--</v>
      </c>
      <c r="DN66" s="56" t="str">
        <f t="shared" si="46"/>
        <v>x</v>
      </c>
      <c r="DO66" s="56" t="str">
        <f t="shared" si="46"/>
        <v>x</v>
      </c>
    </row>
    <row r="67" spans="1:119" ht="43.2">
      <c r="A67" s="52"/>
      <c r="B67" s="30" t="s">
        <v>125</v>
      </c>
      <c r="C67" s="29" t="s">
        <v>350</v>
      </c>
      <c r="D67" s="130" t="s">
        <v>271</v>
      </c>
      <c r="E67" s="23" t="s">
        <v>279</v>
      </c>
      <c r="F67" s="36" t="s">
        <v>3</v>
      </c>
      <c r="G67" s="37"/>
      <c r="H67" s="37">
        <v>17</v>
      </c>
      <c r="I67" s="37"/>
      <c r="J67" s="119"/>
      <c r="K67" s="56" t="str">
        <f t="shared" si="38"/>
        <v>x</v>
      </c>
      <c r="L67" s="56" t="str">
        <f t="shared" si="38"/>
        <v>x</v>
      </c>
      <c r="M67" s="56" t="str">
        <f t="shared" si="38"/>
        <v>x</v>
      </c>
      <c r="N67" s="56" t="str">
        <f t="shared" si="38"/>
        <v>x</v>
      </c>
      <c r="O67" s="56" t="str">
        <f t="shared" si="38"/>
        <v>x</v>
      </c>
      <c r="P67" s="56" t="str">
        <f t="shared" si="38"/>
        <v>x</v>
      </c>
      <c r="Q67" s="56" t="str">
        <f t="shared" si="38"/>
        <v>x</v>
      </c>
      <c r="R67" s="56" t="str">
        <f t="shared" si="38"/>
        <v>x</v>
      </c>
      <c r="S67" s="56" t="str">
        <f t="shared" si="38"/>
        <v>x</v>
      </c>
      <c r="T67" s="56" t="str">
        <f t="shared" si="38"/>
        <v>x</v>
      </c>
      <c r="U67" s="56" t="str">
        <f t="shared" si="39"/>
        <v>x</v>
      </c>
      <c r="V67" s="56" t="str">
        <f t="shared" si="39"/>
        <v>x</v>
      </c>
      <c r="W67" s="56" t="str">
        <f t="shared" si="39"/>
        <v>x</v>
      </c>
      <c r="X67" s="56" t="str">
        <f t="shared" si="39"/>
        <v>x</v>
      </c>
      <c r="Y67" s="56" t="str">
        <f t="shared" si="39"/>
        <v>x</v>
      </c>
      <c r="Z67" s="56" t="str">
        <f t="shared" si="39"/>
        <v>x</v>
      </c>
      <c r="AA67" s="56" t="str">
        <f t="shared" si="39"/>
        <v>x</v>
      </c>
      <c r="AB67" s="56" t="str">
        <f t="shared" si="39"/>
        <v>x</v>
      </c>
      <c r="AC67" s="56" t="str">
        <f t="shared" si="39"/>
        <v>x</v>
      </c>
      <c r="AD67" s="56" t="str">
        <f t="shared" si="39"/>
        <v>x</v>
      </c>
      <c r="AE67" s="56" t="str">
        <f t="shared" si="39"/>
        <v>x</v>
      </c>
      <c r="AF67" s="56" t="str">
        <f t="shared" si="39"/>
        <v>x</v>
      </c>
      <c r="AG67" s="56" t="str">
        <f t="shared" si="39"/>
        <v>x</v>
      </c>
      <c r="AH67" s="56" t="str">
        <f t="shared" si="39"/>
        <v>x</v>
      </c>
      <c r="AI67" s="56" t="str">
        <f t="shared" si="39"/>
        <v>x</v>
      </c>
      <c r="AJ67" s="56" t="str">
        <f t="shared" si="39"/>
        <v>x</v>
      </c>
      <c r="AK67" s="56" t="str">
        <f t="shared" si="49"/>
        <v>x</v>
      </c>
      <c r="AL67" s="56" t="str">
        <f t="shared" si="49"/>
        <v>x</v>
      </c>
      <c r="AM67" s="56" t="str">
        <f t="shared" si="49"/>
        <v>x</v>
      </c>
      <c r="AN67" s="56" t="str">
        <f t="shared" si="49"/>
        <v>x</v>
      </c>
      <c r="AO67" s="56" t="str">
        <f t="shared" si="49"/>
        <v>x</v>
      </c>
      <c r="AP67" s="56" t="str">
        <f t="shared" si="49"/>
        <v>x</v>
      </c>
      <c r="AQ67" s="56" t="str">
        <f t="shared" si="49"/>
        <v>x</v>
      </c>
      <c r="AR67" s="56" t="str">
        <f t="shared" si="49"/>
        <v>x</v>
      </c>
      <c r="AS67" s="56" t="str">
        <f t="shared" si="49"/>
        <v>x</v>
      </c>
      <c r="AT67" s="56" t="str">
        <f t="shared" si="49"/>
        <v>x</v>
      </c>
      <c r="AU67" s="56" t="str">
        <f t="shared" si="49"/>
        <v>x</v>
      </c>
      <c r="AV67" s="56" t="str">
        <f t="shared" si="49"/>
        <v>x</v>
      </c>
      <c r="AW67" s="56" t="str">
        <f t="shared" si="49"/>
        <v>x</v>
      </c>
      <c r="AX67" s="56" t="str">
        <f t="shared" si="49"/>
        <v>x</v>
      </c>
      <c r="AY67" s="56" t="str">
        <f t="shared" si="47"/>
        <v>x</v>
      </c>
      <c r="AZ67" s="56" t="str">
        <f t="shared" si="47"/>
        <v>x</v>
      </c>
      <c r="BA67" s="56" t="str">
        <f t="shared" si="47"/>
        <v>x</v>
      </c>
      <c r="BB67" s="56" t="str">
        <f t="shared" si="47"/>
        <v>x</v>
      </c>
      <c r="BC67" s="56" t="str">
        <f t="shared" si="47"/>
        <v>x</v>
      </c>
      <c r="BD67" s="56" t="str">
        <f t="shared" si="47"/>
        <v>x</v>
      </c>
      <c r="BE67" s="56" t="str">
        <f t="shared" si="47"/>
        <v>x</v>
      </c>
      <c r="BF67" s="56" t="str">
        <f t="shared" si="47"/>
        <v>x</v>
      </c>
      <c r="BG67" s="56" t="str">
        <f t="shared" si="47"/>
        <v>x</v>
      </c>
      <c r="BH67" s="56" t="str">
        <f t="shared" si="47"/>
        <v>x</v>
      </c>
      <c r="BI67" s="56" t="str">
        <f t="shared" si="47"/>
        <v>x</v>
      </c>
      <c r="BJ67" s="56" t="str">
        <f t="shared" si="47"/>
        <v>x</v>
      </c>
      <c r="BK67" s="56" t="str">
        <f t="shared" si="48"/>
        <v>x</v>
      </c>
      <c r="BL67" s="56" t="str">
        <f t="shared" si="48"/>
        <v>x</v>
      </c>
      <c r="BM67" s="56" t="str">
        <f t="shared" si="48"/>
        <v>x</v>
      </c>
      <c r="BN67" s="56" t="str">
        <f t="shared" si="48"/>
        <v>x</v>
      </c>
      <c r="BO67" s="56" t="str">
        <f t="shared" si="48"/>
        <v>x</v>
      </c>
      <c r="BP67" s="56" t="str">
        <f t="shared" si="48"/>
        <v>x</v>
      </c>
      <c r="BQ67" s="56" t="str">
        <f t="shared" si="48"/>
        <v>x</v>
      </c>
      <c r="BR67" s="56" t="str">
        <f t="shared" si="48"/>
        <v>x</v>
      </c>
      <c r="BS67" s="56" t="str">
        <f t="shared" si="48"/>
        <v>x</v>
      </c>
      <c r="BT67" s="56" t="str">
        <f t="shared" si="48"/>
        <v>x</v>
      </c>
      <c r="BU67" s="56" t="str">
        <f t="shared" si="48"/>
        <v>x</v>
      </c>
      <c r="BV67" s="56" t="str">
        <f t="shared" si="48"/>
        <v>--</v>
      </c>
      <c r="BW67" s="56" t="str">
        <f t="shared" si="48"/>
        <v>x</v>
      </c>
      <c r="BX67" s="56" t="str">
        <f t="shared" si="48"/>
        <v>x</v>
      </c>
      <c r="BY67" s="56" t="str">
        <f t="shared" si="32"/>
        <v>x</v>
      </c>
      <c r="BZ67" s="56" t="str">
        <f t="shared" si="43"/>
        <v>x</v>
      </c>
      <c r="CA67" s="56" t="str">
        <f t="shared" si="43"/>
        <v>x</v>
      </c>
      <c r="CB67" s="56" t="str">
        <f t="shared" si="43"/>
        <v>x</v>
      </c>
      <c r="CC67" s="56" t="str">
        <f t="shared" si="43"/>
        <v>x</v>
      </c>
      <c r="CD67" s="56" t="str">
        <f t="shared" si="43"/>
        <v>x</v>
      </c>
      <c r="CE67" s="56" t="str">
        <f t="shared" si="43"/>
        <v>x</v>
      </c>
      <c r="CF67" s="56" t="str">
        <f t="shared" si="43"/>
        <v>x</v>
      </c>
      <c r="CG67" s="56" t="str">
        <f t="shared" si="43"/>
        <v>x</v>
      </c>
      <c r="CH67" s="56" t="str">
        <f t="shared" si="43"/>
        <v>x</v>
      </c>
      <c r="CI67" s="56" t="str">
        <f t="shared" si="43"/>
        <v>x</v>
      </c>
      <c r="CJ67" s="56" t="str">
        <f t="shared" si="43"/>
        <v>x</v>
      </c>
      <c r="CK67" s="56" t="str">
        <f t="shared" si="43"/>
        <v>x</v>
      </c>
      <c r="CL67" s="56" t="str">
        <f t="shared" si="43"/>
        <v>x</v>
      </c>
      <c r="CM67" s="56" t="str">
        <f t="shared" si="43"/>
        <v>x</v>
      </c>
      <c r="CN67" s="56" t="str">
        <f t="shared" si="43"/>
        <v>x</v>
      </c>
      <c r="CO67" s="56" t="str">
        <f t="shared" si="43"/>
        <v>x</v>
      </c>
      <c r="CP67" s="56" t="str">
        <f t="shared" si="42"/>
        <v>x</v>
      </c>
      <c r="CQ67" s="56" t="str">
        <f t="shared" si="42"/>
        <v>x</v>
      </c>
      <c r="CR67" s="56" t="str">
        <f t="shared" si="42"/>
        <v>x</v>
      </c>
      <c r="CS67" s="56" t="str">
        <f t="shared" si="42"/>
        <v>x</v>
      </c>
      <c r="CT67" s="56" t="str">
        <f t="shared" si="42"/>
        <v>x</v>
      </c>
      <c r="CU67" s="56" t="str">
        <f t="shared" si="42"/>
        <v>x</v>
      </c>
      <c r="CV67" s="56" t="str">
        <f t="shared" si="42"/>
        <v>x</v>
      </c>
      <c r="CW67" s="56" t="str">
        <f t="shared" si="42"/>
        <v>x</v>
      </c>
      <c r="CX67" s="56" t="str">
        <f t="shared" si="42"/>
        <v>x</v>
      </c>
      <c r="CY67" s="56" t="str">
        <f t="shared" si="42"/>
        <v>x</v>
      </c>
      <c r="CZ67" s="56" t="str">
        <f t="shared" si="42"/>
        <v>x</v>
      </c>
      <c r="DA67" s="56" t="str">
        <f t="shared" si="42"/>
        <v>x</v>
      </c>
      <c r="DB67" s="56" t="str">
        <f t="shared" si="42"/>
        <v>x</v>
      </c>
      <c r="DC67" s="56" t="str">
        <f t="shared" si="42"/>
        <v>x</v>
      </c>
      <c r="DD67" s="56" t="str">
        <f t="shared" si="42"/>
        <v>x</v>
      </c>
      <c r="DE67" s="56" t="str">
        <f t="shared" si="45"/>
        <v>x</v>
      </c>
      <c r="DF67" s="56" t="str">
        <f t="shared" si="45"/>
        <v>x</v>
      </c>
      <c r="DG67" s="56" t="str">
        <f t="shared" si="45"/>
        <v>x</v>
      </c>
      <c r="DH67" s="56" t="str">
        <f t="shared" si="45"/>
        <v>x</v>
      </c>
      <c r="DI67" s="56" t="str">
        <f t="shared" si="45"/>
        <v>x</v>
      </c>
      <c r="DJ67" s="56" t="str">
        <f t="shared" si="45"/>
        <v>x</v>
      </c>
      <c r="DK67" s="56" t="str">
        <f t="shared" si="45"/>
        <v>x</v>
      </c>
      <c r="DL67" s="56" t="str">
        <f t="shared" si="45"/>
        <v>x</v>
      </c>
      <c r="DM67" s="56" t="str">
        <f t="shared" si="45"/>
        <v>x</v>
      </c>
      <c r="DN67" s="56" t="str">
        <f t="shared" si="46"/>
        <v>--</v>
      </c>
      <c r="DO67" s="56" t="str">
        <f t="shared" si="46"/>
        <v>x</v>
      </c>
    </row>
    <row r="68" spans="1:119" s="15" customFormat="1" ht="51" customHeight="1" thickBot="1">
      <c r="A68" s="52"/>
      <c r="B68" s="30" t="s">
        <v>126</v>
      </c>
      <c r="C68" s="29" t="s">
        <v>351</v>
      </c>
      <c r="D68" s="130" t="s">
        <v>334</v>
      </c>
      <c r="E68" s="23" t="s">
        <v>339</v>
      </c>
      <c r="F68" s="36" t="s">
        <v>3</v>
      </c>
      <c r="G68" s="37"/>
      <c r="H68" s="37">
        <v>17</v>
      </c>
      <c r="I68" s="37"/>
      <c r="J68" s="119"/>
      <c r="K68" s="56" t="str">
        <f t="shared" si="38"/>
        <v>x</v>
      </c>
      <c r="L68" s="56" t="str">
        <f t="shared" si="38"/>
        <v>x</v>
      </c>
      <c r="M68" s="56" t="str">
        <f t="shared" si="38"/>
        <v>x</v>
      </c>
      <c r="N68" s="56" t="str">
        <f t="shared" si="38"/>
        <v>x</v>
      </c>
      <c r="O68" s="56" t="str">
        <f t="shared" si="38"/>
        <v>x</v>
      </c>
      <c r="P68" s="56" t="str">
        <f t="shared" si="38"/>
        <v>x</v>
      </c>
      <c r="Q68" s="56" t="str">
        <f t="shared" si="38"/>
        <v>x</v>
      </c>
      <c r="R68" s="56" t="str">
        <f t="shared" si="38"/>
        <v>x</v>
      </c>
      <c r="S68" s="56" t="str">
        <f t="shared" si="38"/>
        <v>x</v>
      </c>
      <c r="T68" s="56" t="str">
        <f t="shared" si="38"/>
        <v>x</v>
      </c>
      <c r="U68" s="56" t="str">
        <f t="shared" si="39"/>
        <v>x</v>
      </c>
      <c r="V68" s="56" t="str">
        <f t="shared" si="39"/>
        <v>x</v>
      </c>
      <c r="W68" s="56" t="str">
        <f t="shared" si="39"/>
        <v>x</v>
      </c>
      <c r="X68" s="56" t="str">
        <f t="shared" si="39"/>
        <v>x</v>
      </c>
      <c r="Y68" s="56" t="str">
        <f t="shared" si="39"/>
        <v>x</v>
      </c>
      <c r="Z68" s="56" t="str">
        <f t="shared" si="39"/>
        <v>x</v>
      </c>
      <c r="AA68" s="56" t="str">
        <f t="shared" si="39"/>
        <v>x</v>
      </c>
      <c r="AB68" s="56" t="str">
        <f t="shared" si="39"/>
        <v>x</v>
      </c>
      <c r="AC68" s="56" t="str">
        <f t="shared" si="39"/>
        <v>x</v>
      </c>
      <c r="AD68" s="56" t="str">
        <f t="shared" si="39"/>
        <v>x</v>
      </c>
      <c r="AE68" s="56" t="str">
        <f t="shared" si="39"/>
        <v>x</v>
      </c>
      <c r="AF68" s="56" t="str">
        <f t="shared" si="39"/>
        <v>x</v>
      </c>
      <c r="AG68" s="56" t="str">
        <f t="shared" si="39"/>
        <v>x</v>
      </c>
      <c r="AH68" s="56" t="str">
        <f t="shared" si="39"/>
        <v>x</v>
      </c>
      <c r="AI68" s="56" t="str">
        <f t="shared" si="39"/>
        <v>x</v>
      </c>
      <c r="AJ68" s="56" t="str">
        <f t="shared" si="39"/>
        <v>x</v>
      </c>
      <c r="AK68" s="56" t="str">
        <f t="shared" si="49"/>
        <v>x</v>
      </c>
      <c r="AL68" s="56" t="str">
        <f t="shared" si="49"/>
        <v>x</v>
      </c>
      <c r="AM68" s="56" t="str">
        <f t="shared" si="49"/>
        <v>x</v>
      </c>
      <c r="AN68" s="56" t="str">
        <f t="shared" si="49"/>
        <v>x</v>
      </c>
      <c r="AO68" s="56" t="str">
        <f t="shared" si="49"/>
        <v>x</v>
      </c>
      <c r="AP68" s="56" t="str">
        <f t="shared" si="49"/>
        <v>x</v>
      </c>
      <c r="AQ68" s="56" t="str">
        <f t="shared" si="49"/>
        <v>x</v>
      </c>
      <c r="AR68" s="56" t="str">
        <f t="shared" si="49"/>
        <v>x</v>
      </c>
      <c r="AS68" s="56" t="str">
        <f t="shared" si="49"/>
        <v>x</v>
      </c>
      <c r="AT68" s="56" t="str">
        <f t="shared" si="49"/>
        <v>x</v>
      </c>
      <c r="AU68" s="56" t="str">
        <f t="shared" si="49"/>
        <v>x</v>
      </c>
      <c r="AV68" s="56" t="str">
        <f t="shared" si="49"/>
        <v>x</v>
      </c>
      <c r="AW68" s="56" t="str">
        <f t="shared" si="49"/>
        <v>x</v>
      </c>
      <c r="AX68" s="56" t="str">
        <f t="shared" si="49"/>
        <v>x</v>
      </c>
      <c r="AY68" s="56" t="str">
        <f t="shared" si="47"/>
        <v>x</v>
      </c>
      <c r="AZ68" s="56" t="str">
        <f t="shared" si="47"/>
        <v>x</v>
      </c>
      <c r="BA68" s="56" t="str">
        <f t="shared" si="47"/>
        <v>x</v>
      </c>
      <c r="BB68" s="56" t="str">
        <f t="shared" si="47"/>
        <v>x</v>
      </c>
      <c r="BC68" s="56" t="str">
        <f t="shared" si="47"/>
        <v>x</v>
      </c>
      <c r="BD68" s="56" t="str">
        <f t="shared" si="47"/>
        <v>x</v>
      </c>
      <c r="BE68" s="56" t="str">
        <f t="shared" si="47"/>
        <v>x</v>
      </c>
      <c r="BF68" s="56" t="str">
        <f t="shared" si="47"/>
        <v>x</v>
      </c>
      <c r="BG68" s="56" t="str">
        <f t="shared" si="47"/>
        <v>x</v>
      </c>
      <c r="BH68" s="56" t="str">
        <f t="shared" si="47"/>
        <v>x</v>
      </c>
      <c r="BI68" s="56" t="str">
        <f t="shared" si="47"/>
        <v>x</v>
      </c>
      <c r="BJ68" s="56" t="str">
        <f t="shared" si="47"/>
        <v>x</v>
      </c>
      <c r="BK68" s="56" t="str">
        <f t="shared" si="48"/>
        <v>x</v>
      </c>
      <c r="BL68" s="56" t="str">
        <f t="shared" si="48"/>
        <v>x</v>
      </c>
      <c r="BM68" s="56" t="str">
        <f t="shared" si="48"/>
        <v>x</v>
      </c>
      <c r="BN68" s="56" t="str">
        <f t="shared" si="48"/>
        <v>x</v>
      </c>
      <c r="BO68" s="56" t="str">
        <f t="shared" si="48"/>
        <v>x</v>
      </c>
      <c r="BP68" s="56" t="str">
        <f t="shared" si="48"/>
        <v>x</v>
      </c>
      <c r="BQ68" s="56" t="str">
        <f t="shared" si="48"/>
        <v>x</v>
      </c>
      <c r="BR68" s="56" t="str">
        <f t="shared" si="48"/>
        <v>x</v>
      </c>
      <c r="BS68" s="56" t="str">
        <f t="shared" si="48"/>
        <v>x</v>
      </c>
      <c r="BT68" s="56" t="str">
        <f t="shared" si="48"/>
        <v>x</v>
      </c>
      <c r="BU68" s="56" t="str">
        <f t="shared" si="48"/>
        <v>x</v>
      </c>
      <c r="BV68" s="56" t="str">
        <f t="shared" si="48"/>
        <v>x</v>
      </c>
      <c r="BW68" s="56" t="str">
        <f t="shared" si="48"/>
        <v>--</v>
      </c>
      <c r="BX68" s="56" t="str">
        <f t="shared" si="48"/>
        <v>x</v>
      </c>
      <c r="BY68" s="56" t="str">
        <f t="shared" si="32"/>
        <v>x</v>
      </c>
      <c r="BZ68" s="56" t="str">
        <f t="shared" si="43"/>
        <v>x</v>
      </c>
      <c r="CA68" s="56" t="str">
        <f t="shared" si="43"/>
        <v>x</v>
      </c>
      <c r="CB68" s="56" t="str">
        <f t="shared" si="43"/>
        <v>x</v>
      </c>
      <c r="CC68" s="56" t="str">
        <f t="shared" si="43"/>
        <v>x</v>
      </c>
      <c r="CD68" s="56" t="str">
        <f t="shared" si="43"/>
        <v>x</v>
      </c>
      <c r="CE68" s="56" t="str">
        <f t="shared" si="43"/>
        <v>x</v>
      </c>
      <c r="CF68" s="56" t="str">
        <f t="shared" si="43"/>
        <v>x</v>
      </c>
      <c r="CG68" s="56" t="str">
        <f t="shared" si="43"/>
        <v>x</v>
      </c>
      <c r="CH68" s="56" t="str">
        <f t="shared" si="43"/>
        <v>x</v>
      </c>
      <c r="CI68" s="56" t="str">
        <f t="shared" si="43"/>
        <v>x</v>
      </c>
      <c r="CJ68" s="56" t="str">
        <f t="shared" si="43"/>
        <v>x</v>
      </c>
      <c r="CK68" s="56" t="str">
        <f t="shared" si="43"/>
        <v>x</v>
      </c>
      <c r="CL68" s="56" t="str">
        <f t="shared" si="43"/>
        <v>x</v>
      </c>
      <c r="CM68" s="56" t="str">
        <f t="shared" si="43"/>
        <v>x</v>
      </c>
      <c r="CN68" s="56" t="str">
        <f t="shared" si="43"/>
        <v>x</v>
      </c>
      <c r="CO68" s="56" t="str">
        <f t="shared" si="43"/>
        <v>x</v>
      </c>
      <c r="CP68" s="56" t="str">
        <f t="shared" si="42"/>
        <v>x</v>
      </c>
      <c r="CQ68" s="56" t="str">
        <f t="shared" si="42"/>
        <v>x</v>
      </c>
      <c r="CR68" s="56" t="str">
        <f t="shared" si="42"/>
        <v>x</v>
      </c>
      <c r="CS68" s="56" t="str">
        <f t="shared" si="42"/>
        <v>x</v>
      </c>
      <c r="CT68" s="56" t="str">
        <f t="shared" si="42"/>
        <v>x</v>
      </c>
      <c r="CU68" s="56" t="str">
        <f t="shared" si="42"/>
        <v>x</v>
      </c>
      <c r="CV68" s="56" t="str">
        <f t="shared" si="42"/>
        <v>x</v>
      </c>
      <c r="CW68" s="56" t="str">
        <f t="shared" si="42"/>
        <v>x</v>
      </c>
      <c r="CX68" s="56" t="str">
        <f t="shared" si="42"/>
        <v>x</v>
      </c>
      <c r="CY68" s="56" t="str">
        <f t="shared" si="42"/>
        <v>x</v>
      </c>
      <c r="CZ68" s="56" t="str">
        <f t="shared" si="42"/>
        <v>x</v>
      </c>
      <c r="DA68" s="56" t="str">
        <f t="shared" si="42"/>
        <v>x</v>
      </c>
      <c r="DB68" s="56" t="str">
        <f t="shared" si="42"/>
        <v>x</v>
      </c>
      <c r="DC68" s="56" t="str">
        <f t="shared" si="42"/>
        <v>x</v>
      </c>
      <c r="DD68" s="56" t="str">
        <f t="shared" si="42"/>
        <v>x</v>
      </c>
      <c r="DE68" s="56" t="str">
        <f t="shared" si="45"/>
        <v>x</v>
      </c>
      <c r="DF68" s="56" t="str">
        <f t="shared" si="45"/>
        <v>x</v>
      </c>
      <c r="DG68" s="56" t="str">
        <f t="shared" si="45"/>
        <v>x</v>
      </c>
      <c r="DH68" s="56" t="str">
        <f t="shared" si="45"/>
        <v>x</v>
      </c>
      <c r="DI68" s="56" t="str">
        <f t="shared" si="45"/>
        <v>x</v>
      </c>
      <c r="DJ68" s="56" t="str">
        <f t="shared" si="45"/>
        <v>x</v>
      </c>
      <c r="DK68" s="56" t="str">
        <f t="shared" si="45"/>
        <v>x</v>
      </c>
      <c r="DL68" s="56" t="str">
        <f t="shared" si="45"/>
        <v>x</v>
      </c>
      <c r="DM68" s="56" t="str">
        <f t="shared" si="45"/>
        <v>x</v>
      </c>
      <c r="DN68" s="56" t="str">
        <f t="shared" si="46"/>
        <v>x</v>
      </c>
      <c r="DO68" s="56" t="str">
        <f t="shared" si="46"/>
        <v>--</v>
      </c>
    </row>
    <row r="69" spans="1:119" s="18" customFormat="1" ht="43.2">
      <c r="A69" s="52" t="s">
        <v>335</v>
      </c>
      <c r="B69" s="30" t="s">
        <v>122</v>
      </c>
      <c r="C69" s="29" t="s">
        <v>337</v>
      </c>
      <c r="D69" s="130" t="s">
        <v>336</v>
      </c>
      <c r="E69" s="23" t="s">
        <v>175</v>
      </c>
      <c r="F69" s="36" t="s">
        <v>3</v>
      </c>
      <c r="G69" s="37"/>
      <c r="H69" s="37"/>
      <c r="I69" s="37"/>
      <c r="J69" s="119"/>
      <c r="K69" s="56" t="str">
        <f t="shared" ref="K69:W70" si="50">IFERROR(IF(SEARCH(K$5,$D69),$F69,"-"),"x")</f>
        <v>x</v>
      </c>
      <c r="L69" s="56" t="str">
        <f t="shared" si="50"/>
        <v>x</v>
      </c>
      <c r="M69" s="56" t="str">
        <f t="shared" si="50"/>
        <v>x</v>
      </c>
      <c r="N69" s="56" t="str">
        <f t="shared" si="50"/>
        <v>x</v>
      </c>
      <c r="O69" s="56" t="str">
        <f t="shared" si="50"/>
        <v>x</v>
      </c>
      <c r="P69" s="56" t="str">
        <f t="shared" si="50"/>
        <v>x</v>
      </c>
      <c r="Q69" s="56" t="str">
        <f t="shared" si="50"/>
        <v>x</v>
      </c>
      <c r="R69" s="56" t="str">
        <f t="shared" si="50"/>
        <v>x</v>
      </c>
      <c r="S69" s="56" t="str">
        <f t="shared" si="50"/>
        <v>x</v>
      </c>
      <c r="T69" s="56" t="str">
        <f t="shared" si="50"/>
        <v>x</v>
      </c>
      <c r="U69" s="56" t="str">
        <f t="shared" si="50"/>
        <v>x</v>
      </c>
      <c r="V69" s="56" t="str">
        <f t="shared" si="50"/>
        <v>x</v>
      </c>
      <c r="W69" s="56" t="str">
        <f t="shared" si="50"/>
        <v>x</v>
      </c>
      <c r="X69" s="56" t="str">
        <f t="shared" ref="X69:Y70" si="51">IFERROR(IF(SEARCH(X$5,$D69),$F69,"-"),"x")</f>
        <v>x</v>
      </c>
      <c r="Y69" s="56" t="str">
        <f t="shared" si="51"/>
        <v>x</v>
      </c>
      <c r="Z69" s="56" t="str">
        <f t="shared" ref="Z69:AI70" si="52">IFERROR(IF(SEARCH(Z$5,$D69),$F69,"-"),"x")</f>
        <v>x</v>
      </c>
      <c r="AA69" s="56" t="str">
        <f t="shared" si="52"/>
        <v>x</v>
      </c>
      <c r="AB69" s="56" t="str">
        <f t="shared" si="52"/>
        <v>x</v>
      </c>
      <c r="AC69" s="56" t="str">
        <f t="shared" si="52"/>
        <v>x</v>
      </c>
      <c r="AD69" s="56" t="str">
        <f t="shared" si="52"/>
        <v>x</v>
      </c>
      <c r="AE69" s="56" t="str">
        <f t="shared" si="52"/>
        <v>x</v>
      </c>
      <c r="AF69" s="56" t="str">
        <f t="shared" si="52"/>
        <v>x</v>
      </c>
      <c r="AG69" s="56" t="str">
        <f t="shared" si="52"/>
        <v>x</v>
      </c>
      <c r="AH69" s="56" t="str">
        <f t="shared" si="52"/>
        <v>x</v>
      </c>
      <c r="AI69" s="56" t="str">
        <f t="shared" si="52"/>
        <v>x</v>
      </c>
      <c r="AJ69" s="56" t="str">
        <f t="shared" ref="AJ69:AS70" si="53">IFERROR(IF(SEARCH(AJ$5,$D69),$F69,"-"),"x")</f>
        <v>x</v>
      </c>
      <c r="AK69" s="56" t="str">
        <f t="shared" si="53"/>
        <v>x</v>
      </c>
      <c r="AL69" s="56" t="str">
        <f t="shared" si="53"/>
        <v>x</v>
      </c>
      <c r="AM69" s="56" t="str">
        <f t="shared" si="53"/>
        <v>x</v>
      </c>
      <c r="AN69" s="56" t="str">
        <f t="shared" si="53"/>
        <v>x</v>
      </c>
      <c r="AO69" s="56" t="str">
        <f t="shared" si="53"/>
        <v>x</v>
      </c>
      <c r="AP69" s="56" t="str">
        <f t="shared" si="53"/>
        <v>x</v>
      </c>
      <c r="AQ69" s="56" t="str">
        <f t="shared" si="53"/>
        <v>x</v>
      </c>
      <c r="AR69" s="56" t="str">
        <f t="shared" si="53"/>
        <v>x</v>
      </c>
      <c r="AS69" s="56" t="str">
        <f t="shared" si="53"/>
        <v>x</v>
      </c>
      <c r="AT69" s="56" t="str">
        <f t="shared" ref="AT69:BY69" si="54">IFERROR(IF(SEARCH(AT$5,$D69),$F69,"-"),"x")</f>
        <v>x</v>
      </c>
      <c r="AU69" s="56" t="str">
        <f t="shared" si="54"/>
        <v>x</v>
      </c>
      <c r="AV69" s="56" t="str">
        <f t="shared" si="54"/>
        <v>x</v>
      </c>
      <c r="AW69" s="56" t="str">
        <f t="shared" si="54"/>
        <v>x</v>
      </c>
      <c r="AX69" s="56" t="str">
        <f t="shared" si="54"/>
        <v>x</v>
      </c>
      <c r="AY69" s="56" t="str">
        <f t="shared" si="54"/>
        <v>x</v>
      </c>
      <c r="AZ69" s="56" t="str">
        <f t="shared" si="54"/>
        <v>x</v>
      </c>
      <c r="BA69" s="56" t="str">
        <f t="shared" si="54"/>
        <v>x</v>
      </c>
      <c r="BB69" s="56" t="str">
        <f t="shared" si="54"/>
        <v>x</v>
      </c>
      <c r="BC69" s="56" t="str">
        <f t="shared" si="54"/>
        <v>x</v>
      </c>
      <c r="BD69" s="56" t="str">
        <f t="shared" si="54"/>
        <v>x</v>
      </c>
      <c r="BE69" s="56" t="str">
        <f t="shared" si="54"/>
        <v>x</v>
      </c>
      <c r="BF69" s="56" t="str">
        <f t="shared" si="54"/>
        <v>x</v>
      </c>
      <c r="BG69" s="56" t="str">
        <f t="shared" si="54"/>
        <v>x</v>
      </c>
      <c r="BH69" s="56" t="str">
        <f t="shared" si="54"/>
        <v>x</v>
      </c>
      <c r="BI69" s="56" t="str">
        <f t="shared" si="54"/>
        <v>x</v>
      </c>
      <c r="BJ69" s="56" t="str">
        <f t="shared" si="54"/>
        <v>x</v>
      </c>
      <c r="BK69" s="56" t="str">
        <f t="shared" si="54"/>
        <v>x</v>
      </c>
      <c r="BL69" s="56" t="str">
        <f t="shared" si="54"/>
        <v>x</v>
      </c>
      <c r="BM69" s="56" t="str">
        <f t="shared" si="54"/>
        <v>x</v>
      </c>
      <c r="BN69" s="56" t="str">
        <f t="shared" si="54"/>
        <v>x</v>
      </c>
      <c r="BO69" s="56" t="str">
        <f t="shared" si="54"/>
        <v>x</v>
      </c>
      <c r="BP69" s="56" t="str">
        <f t="shared" si="54"/>
        <v>x</v>
      </c>
      <c r="BQ69" s="56" t="str">
        <f t="shared" si="54"/>
        <v>x</v>
      </c>
      <c r="BR69" s="56" t="str">
        <f t="shared" si="54"/>
        <v>x</v>
      </c>
      <c r="BS69" s="56" t="str">
        <f t="shared" si="54"/>
        <v>x</v>
      </c>
      <c r="BT69" s="56" t="str">
        <f t="shared" si="54"/>
        <v>x</v>
      </c>
      <c r="BU69" s="56" t="str">
        <f t="shared" si="54"/>
        <v>x</v>
      </c>
      <c r="BV69" s="56" t="str">
        <f t="shared" si="54"/>
        <v>x</v>
      </c>
      <c r="BW69" s="56" t="str">
        <f t="shared" si="54"/>
        <v>x</v>
      </c>
      <c r="BX69" s="56" t="str">
        <f t="shared" si="54"/>
        <v>--</v>
      </c>
      <c r="BY69" s="56" t="str">
        <f t="shared" si="54"/>
        <v>x</v>
      </c>
      <c r="BZ69" s="56" t="str">
        <f t="shared" ref="BZ69:BZ70" si="55">IFERROR(IF(SEARCH(BZ$5,$E69),$F69,"-"),"x")</f>
        <v>x</v>
      </c>
      <c r="CA69" s="56" t="str">
        <f t="shared" ref="CA69:DL70" si="56">IFERROR(IF(SEARCH(CA$5,$E69),$F69,"-"),"x")</f>
        <v>x</v>
      </c>
      <c r="CB69" s="56" t="str">
        <f t="shared" si="56"/>
        <v>x</v>
      </c>
      <c r="CC69" s="56" t="str">
        <f t="shared" si="56"/>
        <v>x</v>
      </c>
      <c r="CD69" s="56" t="str">
        <f t="shared" si="56"/>
        <v>x</v>
      </c>
      <c r="CE69" s="56" t="str">
        <f t="shared" si="56"/>
        <v>x</v>
      </c>
      <c r="CF69" s="56" t="str">
        <f t="shared" si="56"/>
        <v>x</v>
      </c>
      <c r="CG69" s="56" t="str">
        <f t="shared" si="56"/>
        <v>x</v>
      </c>
      <c r="CH69" s="56" t="str">
        <f t="shared" si="56"/>
        <v>x</v>
      </c>
      <c r="CI69" s="56" t="str">
        <f t="shared" si="56"/>
        <v>x</v>
      </c>
      <c r="CJ69" s="56" t="str">
        <f t="shared" si="56"/>
        <v>x</v>
      </c>
      <c r="CK69" s="56" t="str">
        <f t="shared" si="56"/>
        <v>x</v>
      </c>
      <c r="CL69" s="56" t="str">
        <f t="shared" si="56"/>
        <v>x</v>
      </c>
      <c r="CM69" s="56" t="str">
        <f t="shared" si="56"/>
        <v>--</v>
      </c>
      <c r="CN69" s="56" t="str">
        <f t="shared" si="56"/>
        <v>x</v>
      </c>
      <c r="CO69" s="56" t="str">
        <f t="shared" si="56"/>
        <v>x</v>
      </c>
      <c r="CP69" s="56" t="str">
        <f t="shared" si="56"/>
        <v>x</v>
      </c>
      <c r="CQ69" s="56" t="str">
        <f t="shared" si="56"/>
        <v>x</v>
      </c>
      <c r="CR69" s="56" t="str">
        <f t="shared" si="56"/>
        <v>x</v>
      </c>
      <c r="CS69" s="56" t="str">
        <f t="shared" si="56"/>
        <v>x</v>
      </c>
      <c r="CT69" s="56" t="str">
        <f t="shared" si="56"/>
        <v>x</v>
      </c>
      <c r="CU69" s="56" t="str">
        <f t="shared" si="56"/>
        <v>x</v>
      </c>
      <c r="CV69" s="56" t="str">
        <f t="shared" si="56"/>
        <v>x</v>
      </c>
      <c r="CW69" s="56" t="str">
        <f t="shared" si="56"/>
        <v>x</v>
      </c>
      <c r="CX69" s="56" t="str">
        <f t="shared" si="56"/>
        <v>x</v>
      </c>
      <c r="CY69" s="56" t="str">
        <f t="shared" si="56"/>
        <v>x</v>
      </c>
      <c r="CZ69" s="56" t="str">
        <f t="shared" si="56"/>
        <v>x</v>
      </c>
      <c r="DA69" s="56" t="str">
        <f t="shared" si="56"/>
        <v>x</v>
      </c>
      <c r="DB69" s="56" t="str">
        <f t="shared" si="56"/>
        <v>x</v>
      </c>
      <c r="DC69" s="56" t="str">
        <f t="shared" si="56"/>
        <v>x</v>
      </c>
      <c r="DD69" s="56" t="str">
        <f t="shared" si="56"/>
        <v>x</v>
      </c>
      <c r="DE69" s="56" t="str">
        <f t="shared" si="56"/>
        <v>x</v>
      </c>
      <c r="DF69" s="56" t="str">
        <f t="shared" si="56"/>
        <v>x</v>
      </c>
      <c r="DG69" s="56" t="str">
        <f t="shared" si="56"/>
        <v>x</v>
      </c>
      <c r="DH69" s="56" t="str">
        <f t="shared" si="56"/>
        <v>x</v>
      </c>
      <c r="DI69" s="56" t="str">
        <f t="shared" si="56"/>
        <v>x</v>
      </c>
      <c r="DJ69" s="56" t="str">
        <f t="shared" si="56"/>
        <v>x</v>
      </c>
      <c r="DK69" s="56" t="str">
        <f t="shared" si="56"/>
        <v>x</v>
      </c>
      <c r="DL69" s="56" t="str">
        <f t="shared" si="56"/>
        <v>x</v>
      </c>
      <c r="DM69" s="56" t="str">
        <f t="shared" ref="DM69:DM70" si="57">IFERROR(IF(SEARCH(DM$5,$E69),$F69,"-"),"x")</f>
        <v>x</v>
      </c>
      <c r="DN69" s="56" t="str">
        <f t="shared" ref="DN69:DO69" si="58">IFERROR(IF(SEARCH(DN$5,$E69),$F69,"-"),"x")</f>
        <v>x</v>
      </c>
      <c r="DO69" s="56" t="str">
        <f t="shared" si="58"/>
        <v>x</v>
      </c>
    </row>
    <row r="70" spans="1:119" ht="28.8">
      <c r="A70" s="52" t="s">
        <v>338</v>
      </c>
      <c r="B70" s="30" t="s">
        <v>122</v>
      </c>
      <c r="C70" s="29" t="s">
        <v>352</v>
      </c>
      <c r="D70" s="130" t="s">
        <v>272</v>
      </c>
      <c r="E70" s="23" t="s">
        <v>186</v>
      </c>
      <c r="F70" s="36" t="s">
        <v>3</v>
      </c>
      <c r="G70" s="37" t="s">
        <v>8</v>
      </c>
      <c r="H70" s="37"/>
      <c r="I70" s="37"/>
      <c r="J70" s="119"/>
      <c r="K70" s="56" t="str">
        <f t="shared" si="50"/>
        <v>x</v>
      </c>
      <c r="L70" s="56" t="str">
        <f t="shared" si="50"/>
        <v>x</v>
      </c>
      <c r="M70" s="56" t="str">
        <f t="shared" si="50"/>
        <v>x</v>
      </c>
      <c r="N70" s="56" t="str">
        <f t="shared" si="50"/>
        <v>x</v>
      </c>
      <c r="O70" s="56" t="str">
        <f t="shared" si="50"/>
        <v>x</v>
      </c>
      <c r="P70" s="56" t="str">
        <f t="shared" si="50"/>
        <v>x</v>
      </c>
      <c r="Q70" s="56" t="str">
        <f t="shared" si="50"/>
        <v>x</v>
      </c>
      <c r="R70" s="56" t="str">
        <f t="shared" si="50"/>
        <v>x</v>
      </c>
      <c r="S70" s="56" t="str">
        <f t="shared" si="50"/>
        <v>x</v>
      </c>
      <c r="T70" s="56" t="str">
        <f t="shared" si="50"/>
        <v>x</v>
      </c>
      <c r="U70" s="56" t="str">
        <f t="shared" si="50"/>
        <v>x</v>
      </c>
      <c r="V70" s="56" t="str">
        <f t="shared" si="50"/>
        <v>x</v>
      </c>
      <c r="W70" s="56" t="str">
        <f t="shared" si="50"/>
        <v>x</v>
      </c>
      <c r="X70" s="56" t="str">
        <f t="shared" si="51"/>
        <v>x</v>
      </c>
      <c r="Y70" s="56" t="str">
        <f t="shared" si="51"/>
        <v>x</v>
      </c>
      <c r="Z70" s="56" t="str">
        <f t="shared" si="52"/>
        <v>x</v>
      </c>
      <c r="AA70" s="56" t="str">
        <f t="shared" si="52"/>
        <v>x</v>
      </c>
      <c r="AB70" s="56" t="str">
        <f t="shared" si="52"/>
        <v>x</v>
      </c>
      <c r="AC70" s="56" t="str">
        <f t="shared" si="52"/>
        <v>x</v>
      </c>
      <c r="AD70" s="56" t="str">
        <f t="shared" si="52"/>
        <v>x</v>
      </c>
      <c r="AE70" s="56" t="str">
        <f t="shared" si="52"/>
        <v>x</v>
      </c>
      <c r="AF70" s="56" t="str">
        <f t="shared" si="52"/>
        <v>x</v>
      </c>
      <c r="AG70" s="56" t="str">
        <f t="shared" si="52"/>
        <v>x</v>
      </c>
      <c r="AH70" s="56" t="str">
        <f t="shared" si="52"/>
        <v>x</v>
      </c>
      <c r="AI70" s="56" t="str">
        <f t="shared" si="52"/>
        <v>x</v>
      </c>
      <c r="AJ70" s="56" t="str">
        <f t="shared" si="53"/>
        <v>x</v>
      </c>
      <c r="AK70" s="56" t="str">
        <f t="shared" si="53"/>
        <v>x</v>
      </c>
      <c r="AL70" s="56" t="str">
        <f t="shared" si="53"/>
        <v>x</v>
      </c>
      <c r="AM70" s="56" t="str">
        <f t="shared" si="53"/>
        <v>x</v>
      </c>
      <c r="AN70" s="56" t="str">
        <f t="shared" si="53"/>
        <v>x</v>
      </c>
      <c r="AO70" s="56" t="str">
        <f t="shared" si="53"/>
        <v>x</v>
      </c>
      <c r="AP70" s="56" t="str">
        <f t="shared" si="53"/>
        <v>x</v>
      </c>
      <c r="AQ70" s="56" t="str">
        <f t="shared" si="53"/>
        <v>x</v>
      </c>
      <c r="AR70" s="56" t="str">
        <f t="shared" si="53"/>
        <v>x</v>
      </c>
      <c r="AS70" s="56" t="str">
        <f t="shared" si="53"/>
        <v>x</v>
      </c>
      <c r="AT70" s="56" t="str">
        <f t="shared" ref="AT70:BY70" si="59">IFERROR(IF(SEARCH(AT$5,$D70),$F70,"-"),"x")</f>
        <v>x</v>
      </c>
      <c r="AU70" s="56" t="str">
        <f t="shared" si="59"/>
        <v>x</v>
      </c>
      <c r="AV70" s="56" t="str">
        <f t="shared" si="59"/>
        <v>x</v>
      </c>
      <c r="AW70" s="56" t="str">
        <f t="shared" si="59"/>
        <v>x</v>
      </c>
      <c r="AX70" s="56" t="str">
        <f t="shared" si="59"/>
        <v>x</v>
      </c>
      <c r="AY70" s="56" t="str">
        <f t="shared" si="59"/>
        <v>x</v>
      </c>
      <c r="AZ70" s="56" t="str">
        <f t="shared" si="59"/>
        <v>x</v>
      </c>
      <c r="BA70" s="56" t="str">
        <f t="shared" si="59"/>
        <v>x</v>
      </c>
      <c r="BB70" s="56" t="str">
        <f t="shared" si="59"/>
        <v>x</v>
      </c>
      <c r="BC70" s="56" t="str">
        <f t="shared" si="59"/>
        <v>x</v>
      </c>
      <c r="BD70" s="56" t="str">
        <f t="shared" si="59"/>
        <v>x</v>
      </c>
      <c r="BE70" s="56" t="str">
        <f t="shared" si="59"/>
        <v>x</v>
      </c>
      <c r="BF70" s="56" t="str">
        <f t="shared" si="59"/>
        <v>x</v>
      </c>
      <c r="BG70" s="56" t="str">
        <f t="shared" si="59"/>
        <v>x</v>
      </c>
      <c r="BH70" s="56" t="str">
        <f t="shared" si="59"/>
        <v>x</v>
      </c>
      <c r="BI70" s="56" t="str">
        <f t="shared" si="59"/>
        <v>x</v>
      </c>
      <c r="BJ70" s="56" t="str">
        <f t="shared" si="59"/>
        <v>x</v>
      </c>
      <c r="BK70" s="56" t="str">
        <f t="shared" si="59"/>
        <v>x</v>
      </c>
      <c r="BL70" s="56" t="str">
        <f t="shared" si="59"/>
        <v>x</v>
      </c>
      <c r="BM70" s="56" t="str">
        <f t="shared" si="59"/>
        <v>x</v>
      </c>
      <c r="BN70" s="56" t="str">
        <f t="shared" si="59"/>
        <v>x</v>
      </c>
      <c r="BO70" s="56" t="str">
        <f t="shared" si="59"/>
        <v>x</v>
      </c>
      <c r="BP70" s="56" t="str">
        <f t="shared" si="59"/>
        <v>x</v>
      </c>
      <c r="BQ70" s="56" t="str">
        <f t="shared" si="59"/>
        <v>x</v>
      </c>
      <c r="BR70" s="56" t="str">
        <f t="shared" si="59"/>
        <v>x</v>
      </c>
      <c r="BS70" s="56" t="str">
        <f t="shared" si="59"/>
        <v>x</v>
      </c>
      <c r="BT70" s="56" t="str">
        <f t="shared" si="59"/>
        <v>x</v>
      </c>
      <c r="BU70" s="56" t="str">
        <f t="shared" si="59"/>
        <v>x</v>
      </c>
      <c r="BV70" s="56" t="str">
        <f t="shared" si="59"/>
        <v>x</v>
      </c>
      <c r="BW70" s="56" t="str">
        <f t="shared" si="59"/>
        <v>x</v>
      </c>
      <c r="BX70" s="56" t="str">
        <f t="shared" si="59"/>
        <v>x</v>
      </c>
      <c r="BY70" s="56" t="str">
        <f t="shared" si="59"/>
        <v>--</v>
      </c>
      <c r="BZ70" s="56" t="str">
        <f t="shared" si="55"/>
        <v>x</v>
      </c>
      <c r="CA70" s="56" t="str">
        <f t="shared" si="56"/>
        <v>x</v>
      </c>
      <c r="CB70" s="56" t="str">
        <f t="shared" si="56"/>
        <v>x</v>
      </c>
      <c r="CC70" s="56" t="str">
        <f t="shared" si="56"/>
        <v>x</v>
      </c>
      <c r="CD70" s="56" t="str">
        <f t="shared" si="56"/>
        <v>x</v>
      </c>
      <c r="CE70" s="56" t="str">
        <f t="shared" si="56"/>
        <v>x</v>
      </c>
      <c r="CF70" s="56" t="str">
        <f t="shared" si="56"/>
        <v>x</v>
      </c>
      <c r="CG70" s="56" t="str">
        <f t="shared" si="56"/>
        <v>x</v>
      </c>
      <c r="CH70" s="56" t="str">
        <f t="shared" si="56"/>
        <v>x</v>
      </c>
      <c r="CI70" s="56" t="str">
        <f t="shared" si="56"/>
        <v>x</v>
      </c>
      <c r="CJ70" s="56" t="str">
        <f t="shared" si="56"/>
        <v>x</v>
      </c>
      <c r="CK70" s="56" t="str">
        <f t="shared" si="56"/>
        <v>x</v>
      </c>
      <c r="CL70" s="56" t="str">
        <f t="shared" si="56"/>
        <v>x</v>
      </c>
      <c r="CM70" s="56" t="str">
        <f t="shared" si="56"/>
        <v>x</v>
      </c>
      <c r="CN70" s="56" t="str">
        <f t="shared" si="56"/>
        <v>x</v>
      </c>
      <c r="CO70" s="56" t="str">
        <f t="shared" si="56"/>
        <v>x</v>
      </c>
      <c r="CP70" s="56" t="str">
        <f t="shared" si="56"/>
        <v>x</v>
      </c>
      <c r="CQ70" s="56" t="str">
        <f t="shared" si="56"/>
        <v>x</v>
      </c>
      <c r="CR70" s="56" t="str">
        <f t="shared" si="56"/>
        <v>x</v>
      </c>
      <c r="CS70" s="56" t="str">
        <f t="shared" si="56"/>
        <v>x</v>
      </c>
      <c r="CT70" s="56" t="str">
        <f t="shared" si="56"/>
        <v>x</v>
      </c>
      <c r="CU70" s="56" t="str">
        <f t="shared" si="56"/>
        <v>x</v>
      </c>
      <c r="CV70" s="56" t="str">
        <f t="shared" si="56"/>
        <v>x</v>
      </c>
      <c r="CW70" s="56" t="str">
        <f t="shared" si="56"/>
        <v>x</v>
      </c>
      <c r="CX70" s="56" t="str">
        <f t="shared" si="56"/>
        <v>--</v>
      </c>
      <c r="CY70" s="56" t="str">
        <f t="shared" si="56"/>
        <v>x</v>
      </c>
      <c r="CZ70" s="56" t="str">
        <f t="shared" si="56"/>
        <v>x</v>
      </c>
      <c r="DA70" s="56" t="str">
        <f t="shared" si="56"/>
        <v>x</v>
      </c>
      <c r="DB70" s="56" t="str">
        <f t="shared" si="56"/>
        <v>x</v>
      </c>
      <c r="DC70" s="56" t="str">
        <f t="shared" si="56"/>
        <v>x</v>
      </c>
      <c r="DD70" s="56" t="str">
        <f t="shared" si="56"/>
        <v>x</v>
      </c>
      <c r="DE70" s="56" t="str">
        <f t="shared" si="56"/>
        <v>x</v>
      </c>
      <c r="DF70" s="56" t="str">
        <f t="shared" si="56"/>
        <v>x</v>
      </c>
      <c r="DG70" s="56" t="str">
        <f t="shared" si="56"/>
        <v>x</v>
      </c>
      <c r="DH70" s="56" t="str">
        <f t="shared" si="56"/>
        <v>x</v>
      </c>
      <c r="DI70" s="56" t="str">
        <f t="shared" si="56"/>
        <v>x</v>
      </c>
      <c r="DJ70" s="56" t="str">
        <f t="shared" si="56"/>
        <v>x</v>
      </c>
      <c r="DK70" s="56" t="str">
        <f t="shared" si="56"/>
        <v>x</v>
      </c>
      <c r="DL70" s="56" t="str">
        <f t="shared" si="56"/>
        <v>x</v>
      </c>
      <c r="DM70" s="56" t="str">
        <f t="shared" si="57"/>
        <v>x</v>
      </c>
      <c r="DN70" s="56" t="str">
        <f t="shared" ref="DN70:DO70" si="60">IFERROR(IF(SEARCH(DN$5,$E70),$F70,"-"),"x")</f>
        <v>x</v>
      </c>
      <c r="DO70" s="56" t="str">
        <f t="shared" si="60"/>
        <v>x</v>
      </c>
    </row>
    <row r="71" spans="1:119" ht="28.8">
      <c r="A71" s="52" t="s">
        <v>355</v>
      </c>
      <c r="B71" s="30" t="s">
        <v>122</v>
      </c>
      <c r="C71" s="143" t="s">
        <v>356</v>
      </c>
      <c r="D71" s="29" t="s">
        <v>357</v>
      </c>
      <c r="E71" s="130"/>
      <c r="F71" s="144" t="s">
        <v>358</v>
      </c>
      <c r="G71" s="36" t="s">
        <v>3</v>
      </c>
      <c r="H71" s="37" t="s">
        <v>8</v>
      </c>
      <c r="I71" s="37"/>
      <c r="J71" s="37"/>
      <c r="K71" s="56" t="str">
        <f t="shared" ref="K71:AP71" si="61">IFERROR(IF(SEARCH(L$5,$E71),$G71,"-"),"x")</f>
        <v>x</v>
      </c>
      <c r="L71" s="56" t="str">
        <f t="shared" si="61"/>
        <v>x</v>
      </c>
      <c r="M71" s="56" t="str">
        <f t="shared" si="61"/>
        <v>x</v>
      </c>
      <c r="N71" s="56" t="str">
        <f t="shared" si="61"/>
        <v>x</v>
      </c>
      <c r="O71" s="56" t="str">
        <f t="shared" si="61"/>
        <v>x</v>
      </c>
      <c r="P71" s="56" t="str">
        <f t="shared" si="61"/>
        <v>x</v>
      </c>
      <c r="Q71" s="56" t="str">
        <f t="shared" si="61"/>
        <v>x</v>
      </c>
      <c r="R71" s="56" t="str">
        <f t="shared" si="61"/>
        <v>x</v>
      </c>
      <c r="S71" s="56" t="str">
        <f t="shared" si="61"/>
        <v>x</v>
      </c>
      <c r="T71" s="56" t="str">
        <f t="shared" si="61"/>
        <v>x</v>
      </c>
      <c r="U71" s="56" t="str">
        <f t="shared" si="61"/>
        <v>x</v>
      </c>
      <c r="V71" s="56" t="str">
        <f t="shared" si="61"/>
        <v>x</v>
      </c>
      <c r="W71" s="56" t="str">
        <f t="shared" si="61"/>
        <v>x</v>
      </c>
      <c r="X71" s="56" t="str">
        <f t="shared" si="61"/>
        <v>x</v>
      </c>
      <c r="Y71" s="56" t="str">
        <f t="shared" si="61"/>
        <v>x</v>
      </c>
      <c r="Z71" s="56" t="str">
        <f t="shared" si="61"/>
        <v>x</v>
      </c>
      <c r="AA71" s="56" t="str">
        <f t="shared" si="61"/>
        <v>x</v>
      </c>
      <c r="AB71" s="56" t="str">
        <f t="shared" si="61"/>
        <v>x</v>
      </c>
      <c r="AC71" s="56" t="str">
        <f t="shared" si="61"/>
        <v>x</v>
      </c>
      <c r="AD71" s="56" t="str">
        <f t="shared" si="61"/>
        <v>x</v>
      </c>
      <c r="AE71" s="56" t="str">
        <f t="shared" si="61"/>
        <v>x</v>
      </c>
      <c r="AF71" s="56" t="str">
        <f t="shared" si="61"/>
        <v>x</v>
      </c>
      <c r="AG71" s="56" t="str">
        <f t="shared" si="61"/>
        <v>x</v>
      </c>
      <c r="AH71" s="56" t="str">
        <f t="shared" si="61"/>
        <v>x</v>
      </c>
      <c r="AI71" s="56" t="str">
        <f t="shared" si="61"/>
        <v>x</v>
      </c>
      <c r="AJ71" s="56" t="str">
        <f t="shared" si="61"/>
        <v>x</v>
      </c>
      <c r="AK71" s="56" t="str">
        <f t="shared" si="61"/>
        <v>x</v>
      </c>
      <c r="AL71" s="56" t="str">
        <f t="shared" si="61"/>
        <v>x</v>
      </c>
      <c r="AM71" s="56" t="str">
        <f t="shared" si="61"/>
        <v>x</v>
      </c>
      <c r="AN71" s="56" t="str">
        <f t="shared" si="61"/>
        <v>x</v>
      </c>
      <c r="AO71" s="56" t="str">
        <f t="shared" si="61"/>
        <v>x</v>
      </c>
      <c r="AP71" s="56" t="str">
        <f t="shared" si="61"/>
        <v>x</v>
      </c>
      <c r="AQ71" s="56" t="str">
        <f t="shared" ref="AQ71:BY71" si="62">IFERROR(IF(SEARCH(AR$5,$E71),$G71,"-"),"x")</f>
        <v>x</v>
      </c>
      <c r="AR71" s="56" t="str">
        <f t="shared" si="62"/>
        <v>x</v>
      </c>
      <c r="AS71" s="56" t="str">
        <f t="shared" si="62"/>
        <v>x</v>
      </c>
      <c r="AT71" s="56" t="str">
        <f t="shared" si="62"/>
        <v>x</v>
      </c>
      <c r="AU71" s="56" t="str">
        <f t="shared" si="62"/>
        <v>x</v>
      </c>
      <c r="AV71" s="56" t="str">
        <f t="shared" si="62"/>
        <v>x</v>
      </c>
      <c r="AW71" s="56" t="str">
        <f t="shared" si="62"/>
        <v>x</v>
      </c>
      <c r="AX71" s="56" t="str">
        <f t="shared" si="62"/>
        <v>x</v>
      </c>
      <c r="AY71" s="56" t="str">
        <f t="shared" si="62"/>
        <v>x</v>
      </c>
      <c r="AZ71" s="56" t="str">
        <f t="shared" si="62"/>
        <v>x</v>
      </c>
      <c r="BA71" s="56" t="str">
        <f t="shared" si="62"/>
        <v>x</v>
      </c>
      <c r="BB71" s="56" t="str">
        <f t="shared" si="62"/>
        <v>x</v>
      </c>
      <c r="BC71" s="56" t="str">
        <f t="shared" si="62"/>
        <v>x</v>
      </c>
      <c r="BD71" s="56" t="str">
        <f t="shared" si="62"/>
        <v>x</v>
      </c>
      <c r="BE71" s="56" t="str">
        <f t="shared" si="62"/>
        <v>x</v>
      </c>
      <c r="BF71" s="56" t="str">
        <f t="shared" si="62"/>
        <v>x</v>
      </c>
      <c r="BG71" s="56" t="str">
        <f t="shared" si="62"/>
        <v>x</v>
      </c>
      <c r="BH71" s="56" t="str">
        <f t="shared" si="62"/>
        <v>x</v>
      </c>
      <c r="BI71" s="56" t="str">
        <f t="shared" si="62"/>
        <v>x</v>
      </c>
      <c r="BJ71" s="56" t="str">
        <f t="shared" si="62"/>
        <v>x</v>
      </c>
      <c r="BK71" s="56" t="str">
        <f t="shared" si="62"/>
        <v>x</v>
      </c>
      <c r="BL71" s="56" t="str">
        <f t="shared" si="62"/>
        <v>x</v>
      </c>
      <c r="BM71" s="56" t="str">
        <f t="shared" si="62"/>
        <v>x</v>
      </c>
      <c r="BN71" s="56" t="str">
        <f t="shared" si="62"/>
        <v>x</v>
      </c>
      <c r="BO71" s="56" t="str">
        <f t="shared" si="62"/>
        <v>x</v>
      </c>
      <c r="BP71" s="56" t="str">
        <f t="shared" si="62"/>
        <v>x</v>
      </c>
      <c r="BQ71" s="56" t="str">
        <f t="shared" si="62"/>
        <v>x</v>
      </c>
      <c r="BR71" s="56" t="str">
        <f t="shared" si="62"/>
        <v>x</v>
      </c>
      <c r="BS71" s="56" t="str">
        <f t="shared" si="62"/>
        <v>x</v>
      </c>
      <c r="BT71" s="56" t="str">
        <f t="shared" si="62"/>
        <v>x</v>
      </c>
      <c r="BU71" s="56" t="str">
        <f t="shared" si="62"/>
        <v>x</v>
      </c>
      <c r="BV71" s="56" t="str">
        <f t="shared" si="62"/>
        <v>x</v>
      </c>
      <c r="BW71" s="56" t="str">
        <f t="shared" si="62"/>
        <v>x</v>
      </c>
      <c r="BX71" s="56" t="str">
        <f t="shared" si="62"/>
        <v>x</v>
      </c>
      <c r="BY71" s="56" t="str">
        <f t="shared" si="62"/>
        <v>x</v>
      </c>
      <c r="BZ71" s="56" t="str">
        <f t="shared" ref="BZ71:DO71" si="63">IFERROR(IF(SEARCH(CA$5,$F71),$G71,"-"),"x")</f>
        <v>x</v>
      </c>
      <c r="CA71" s="56" t="str">
        <f t="shared" si="63"/>
        <v>x</v>
      </c>
      <c r="CB71" s="56" t="str">
        <f t="shared" si="63"/>
        <v>x</v>
      </c>
      <c r="CC71" s="56" t="str">
        <f t="shared" si="63"/>
        <v>x</v>
      </c>
      <c r="CD71" s="56" t="str">
        <f t="shared" si="63"/>
        <v>x</v>
      </c>
      <c r="CE71" s="56" t="str">
        <f t="shared" si="63"/>
        <v>x</v>
      </c>
      <c r="CF71" s="56" t="str">
        <f t="shared" si="63"/>
        <v>x</v>
      </c>
      <c r="CG71" s="56" t="str">
        <f t="shared" si="63"/>
        <v>x</v>
      </c>
      <c r="CH71" s="56" t="str">
        <f t="shared" si="63"/>
        <v>x</v>
      </c>
      <c r="CI71" s="56" t="str">
        <f t="shared" si="63"/>
        <v>x</v>
      </c>
      <c r="CJ71" s="56" t="str">
        <f t="shared" si="63"/>
        <v>x</v>
      </c>
      <c r="CK71" s="56" t="str">
        <f t="shared" si="63"/>
        <v>x</v>
      </c>
      <c r="CL71" s="56" t="str">
        <f t="shared" si="63"/>
        <v>x</v>
      </c>
      <c r="CM71" s="56" t="str">
        <f t="shared" si="63"/>
        <v>x</v>
      </c>
      <c r="CN71" s="56" t="str">
        <f t="shared" si="63"/>
        <v>x</v>
      </c>
      <c r="CO71" s="56" t="str">
        <f t="shared" si="63"/>
        <v>x</v>
      </c>
      <c r="CP71" s="56" t="str">
        <f t="shared" si="63"/>
        <v>x</v>
      </c>
      <c r="CQ71" s="56" t="str">
        <f t="shared" si="63"/>
        <v>x</v>
      </c>
      <c r="CR71" s="56" t="str">
        <f t="shared" si="63"/>
        <v>x</v>
      </c>
      <c r="CS71" s="56" t="str">
        <f t="shared" si="63"/>
        <v>x</v>
      </c>
      <c r="CT71" s="56" t="str">
        <f t="shared" si="63"/>
        <v>x</v>
      </c>
      <c r="CU71" s="56" t="str">
        <f t="shared" si="63"/>
        <v>x</v>
      </c>
      <c r="CV71" s="56" t="str">
        <f t="shared" si="63"/>
        <v>x</v>
      </c>
      <c r="CW71" s="56" t="str">
        <f t="shared" si="63"/>
        <v>x</v>
      </c>
      <c r="CX71" s="56" t="str">
        <f t="shared" si="63"/>
        <v>x</v>
      </c>
      <c r="CY71" s="56" t="str">
        <f t="shared" si="63"/>
        <v>x</v>
      </c>
      <c r="CZ71" s="56" t="str">
        <f t="shared" si="63"/>
        <v>x</v>
      </c>
      <c r="DA71" s="56" t="str">
        <f t="shared" si="63"/>
        <v>x</v>
      </c>
      <c r="DB71" s="56" t="str">
        <f t="shared" si="63"/>
        <v>x</v>
      </c>
      <c r="DC71" s="56" t="str">
        <f t="shared" si="63"/>
        <v>x</v>
      </c>
      <c r="DD71" s="56" t="str">
        <f t="shared" si="63"/>
        <v>x</v>
      </c>
      <c r="DE71" s="56" t="str">
        <f t="shared" si="63"/>
        <v>x</v>
      </c>
      <c r="DF71" s="56" t="str">
        <f t="shared" si="63"/>
        <v>x</v>
      </c>
      <c r="DG71" s="56" t="str">
        <f t="shared" si="63"/>
        <v>x</v>
      </c>
      <c r="DH71" s="56" t="str">
        <f t="shared" si="63"/>
        <v>x</v>
      </c>
      <c r="DI71" s="56" t="str">
        <f t="shared" si="63"/>
        <v>x</v>
      </c>
      <c r="DJ71" s="56" t="str">
        <f t="shared" si="63"/>
        <v>x</v>
      </c>
      <c r="DK71" s="56" t="str">
        <f t="shared" si="63"/>
        <v>x</v>
      </c>
      <c r="DL71" s="56" t="str">
        <f t="shared" si="63"/>
        <v>x</v>
      </c>
      <c r="DM71" s="56" t="str">
        <f t="shared" si="63"/>
        <v>x</v>
      </c>
      <c r="DN71" s="56" t="str">
        <f t="shared" si="63"/>
        <v>x</v>
      </c>
      <c r="DO71" s="56" t="str">
        <f t="shared" si="63"/>
        <v>--</v>
      </c>
    </row>
    <row r="72" spans="1:119" s="3" customFormat="1">
      <c r="B72" s="21"/>
      <c r="C72" s="16"/>
      <c r="D72" s="16"/>
      <c r="E72" s="19"/>
      <c r="F72" s="132" t="s">
        <v>156</v>
      </c>
      <c r="G72" s="20" t="s">
        <v>11</v>
      </c>
      <c r="I72" s="16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34"/>
    </row>
    <row r="73" spans="1:119">
      <c r="A73" s="19"/>
      <c r="B73" s="19"/>
      <c r="C73" s="16"/>
      <c r="D73" s="16"/>
      <c r="E73" s="19"/>
      <c r="F73" s="132" t="s">
        <v>157</v>
      </c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34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</row>
    <row r="74" spans="1:119">
      <c r="A74" s="19"/>
      <c r="B74" s="19"/>
      <c r="C74" s="16"/>
      <c r="D74" s="16"/>
      <c r="E74" s="19"/>
      <c r="F74" s="132" t="s">
        <v>13</v>
      </c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34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</row>
    <row r="75" spans="1:119">
      <c r="A75" s="19"/>
      <c r="B75" s="19"/>
      <c r="C75" s="16"/>
      <c r="D75" s="16"/>
      <c r="E75" s="19"/>
      <c r="F75" s="132" t="s">
        <v>203</v>
      </c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58"/>
      <c r="BJ75" s="58"/>
      <c r="BK75" s="58"/>
      <c r="BL75" s="58"/>
      <c r="BM75" s="58"/>
      <c r="BN75" s="58"/>
      <c r="BO75" s="58"/>
      <c r="BP75" s="58"/>
      <c r="BQ75" s="58"/>
      <c r="BR75" s="58"/>
      <c r="BS75" s="58"/>
      <c r="BT75" s="58"/>
      <c r="BU75" s="58"/>
      <c r="BV75" s="34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</row>
    <row r="76" spans="1:119">
      <c r="A76" s="19"/>
      <c r="B76" s="19"/>
      <c r="C76" s="16"/>
      <c r="D76" s="16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  <c r="AW76" s="58"/>
      <c r="AX76" s="58"/>
      <c r="AY76" s="58"/>
      <c r="AZ76" s="58"/>
      <c r="BA76" s="58"/>
      <c r="BB76" s="58"/>
      <c r="BC76" s="58"/>
      <c r="BD76" s="58"/>
      <c r="BE76" s="58"/>
      <c r="BF76" s="58"/>
      <c r="BG76" s="58"/>
      <c r="BH76" s="58"/>
      <c r="BI76" s="58"/>
      <c r="BJ76" s="58"/>
      <c r="BK76" s="58"/>
      <c r="BL76" s="58"/>
      <c r="BM76" s="58"/>
      <c r="BN76" s="58"/>
      <c r="BO76" s="58"/>
      <c r="BP76" s="58"/>
      <c r="BQ76" s="58"/>
      <c r="BR76" s="58"/>
      <c r="BS76" s="58"/>
      <c r="BT76" s="58"/>
      <c r="BU76" s="58"/>
      <c r="BV76" s="34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</row>
    <row r="77" spans="1:119">
      <c r="A77" s="19"/>
      <c r="B77" s="19"/>
      <c r="C77" s="16"/>
      <c r="D77" s="16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34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</row>
    <row r="78" spans="1:119">
      <c r="A78" s="19"/>
      <c r="B78" s="19"/>
      <c r="C78" s="16"/>
      <c r="D78" s="16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  <c r="AW78" s="58"/>
      <c r="AX78" s="58"/>
      <c r="AY78" s="58"/>
      <c r="AZ78" s="58"/>
      <c r="BA78" s="58"/>
      <c r="BB78" s="58"/>
      <c r="BC78" s="58"/>
      <c r="BD78" s="58"/>
      <c r="BE78" s="58"/>
      <c r="BF78" s="58"/>
      <c r="BG78" s="58"/>
      <c r="BH78" s="58"/>
      <c r="BI78" s="58"/>
      <c r="BJ78" s="58"/>
      <c r="BK78" s="58"/>
      <c r="BL78" s="58"/>
      <c r="BM78" s="58"/>
      <c r="BN78" s="58"/>
      <c r="BO78" s="58"/>
      <c r="BP78" s="58"/>
      <c r="BQ78" s="58"/>
      <c r="BR78" s="58"/>
      <c r="BS78" s="58"/>
      <c r="BT78" s="58"/>
      <c r="BU78" s="58"/>
      <c r="BV78" s="34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</row>
    <row r="79" spans="1:119">
      <c r="A79" s="19"/>
      <c r="B79" s="19"/>
      <c r="C79" s="16"/>
      <c r="D79" s="16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  <c r="AW79" s="58"/>
      <c r="AX79" s="58"/>
      <c r="AY79" s="58"/>
      <c r="AZ79" s="58"/>
      <c r="BA79" s="58"/>
      <c r="BB79" s="58"/>
      <c r="BC79" s="58"/>
      <c r="BD79" s="58"/>
      <c r="BE79" s="58"/>
      <c r="BF79" s="58"/>
      <c r="BG79" s="58"/>
      <c r="BH79" s="58"/>
      <c r="BI79" s="58"/>
      <c r="BJ79" s="58"/>
      <c r="BK79" s="58"/>
      <c r="BL79" s="58"/>
      <c r="BM79" s="58"/>
      <c r="BN79" s="58"/>
      <c r="BO79" s="58"/>
      <c r="BP79" s="58"/>
      <c r="BQ79" s="58"/>
      <c r="BR79" s="58"/>
      <c r="BS79" s="58"/>
      <c r="BT79" s="58"/>
      <c r="BU79" s="58"/>
      <c r="BV79" s="34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</row>
    <row r="80" spans="1:119">
      <c r="A80" s="19"/>
      <c r="B80" s="19"/>
      <c r="C80" s="16"/>
      <c r="D80" s="16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58"/>
      <c r="BE80" s="58"/>
      <c r="BF80" s="58"/>
      <c r="BG80" s="58"/>
      <c r="BH80" s="58"/>
      <c r="BI80" s="58"/>
      <c r="BJ80" s="58"/>
      <c r="BK80" s="58"/>
      <c r="BL80" s="58"/>
      <c r="BM80" s="58"/>
      <c r="BN80" s="58"/>
      <c r="BO80" s="58"/>
      <c r="BP80" s="58"/>
      <c r="BQ80" s="58"/>
      <c r="BR80" s="58"/>
      <c r="BS80" s="58"/>
      <c r="BT80" s="58"/>
      <c r="BU80" s="58"/>
      <c r="BV80" s="34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</row>
    <row r="81" spans="1:106">
      <c r="A81" s="19"/>
      <c r="B81" s="19"/>
      <c r="C81" s="16"/>
      <c r="D81" s="16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  <c r="AW81" s="58"/>
      <c r="AX81" s="58"/>
      <c r="AY81" s="58"/>
      <c r="AZ81" s="58"/>
      <c r="BA81" s="58"/>
      <c r="BB81" s="58"/>
      <c r="BC81" s="58"/>
      <c r="BD81" s="58"/>
      <c r="BE81" s="58"/>
      <c r="BF81" s="58"/>
      <c r="BG81" s="58"/>
      <c r="BH81" s="58"/>
      <c r="BI81" s="58"/>
      <c r="BJ81" s="58"/>
      <c r="BK81" s="58"/>
      <c r="BL81" s="58"/>
      <c r="BM81" s="58"/>
      <c r="BN81" s="58"/>
      <c r="BO81" s="58"/>
      <c r="BP81" s="58"/>
      <c r="BQ81" s="58"/>
      <c r="BR81" s="58"/>
      <c r="BS81" s="58"/>
      <c r="BT81" s="58"/>
      <c r="BU81" s="58"/>
      <c r="BV81" s="34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</row>
    <row r="82" spans="1:106">
      <c r="A82" s="19"/>
      <c r="B82" s="19"/>
      <c r="C82" s="16"/>
      <c r="D82" s="16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  <c r="AW82" s="58"/>
      <c r="AX82" s="58"/>
      <c r="AY82" s="58"/>
      <c r="AZ82" s="58"/>
      <c r="BA82" s="58"/>
      <c r="BB82" s="58"/>
      <c r="BC82" s="58"/>
      <c r="BD82" s="58"/>
      <c r="BE82" s="58"/>
      <c r="BF82" s="58"/>
      <c r="BG82" s="58"/>
      <c r="BH82" s="58"/>
      <c r="BI82" s="58"/>
      <c r="BJ82" s="58"/>
      <c r="BK82" s="58"/>
      <c r="BL82" s="58"/>
      <c r="BM82" s="58"/>
      <c r="BN82" s="58"/>
      <c r="BO82" s="58"/>
      <c r="BP82" s="58"/>
      <c r="BQ82" s="58"/>
      <c r="BR82" s="58"/>
      <c r="BS82" s="58"/>
      <c r="BT82" s="58"/>
      <c r="BU82" s="58"/>
      <c r="BV82" s="34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</row>
    <row r="83" spans="1:106">
      <c r="A83" s="19"/>
      <c r="B83" s="19"/>
      <c r="C83" s="16"/>
      <c r="D83" s="16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  <c r="AW83" s="58"/>
      <c r="AX83" s="58"/>
      <c r="AY83" s="58"/>
      <c r="AZ83" s="58"/>
      <c r="BA83" s="58"/>
      <c r="BB83" s="58"/>
      <c r="BC83" s="58"/>
      <c r="BD83" s="58"/>
      <c r="BE83" s="58"/>
      <c r="BF83" s="58"/>
      <c r="BG83" s="58"/>
      <c r="BH83" s="58"/>
      <c r="BI83" s="58"/>
      <c r="BJ83" s="58"/>
      <c r="BK83" s="58"/>
      <c r="BL83" s="58"/>
      <c r="BM83" s="58"/>
      <c r="BN83" s="58"/>
      <c r="BO83" s="58"/>
      <c r="BP83" s="58"/>
      <c r="BQ83" s="58"/>
      <c r="BR83" s="58"/>
      <c r="BS83" s="58"/>
      <c r="BT83" s="58"/>
      <c r="BU83" s="58"/>
      <c r="BV83" s="34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</row>
    <row r="84" spans="1:106">
      <c r="A84" s="19"/>
      <c r="B84" s="19"/>
      <c r="C84" s="16"/>
      <c r="D84" s="16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58"/>
      <c r="BJ84" s="58"/>
      <c r="BK84" s="58"/>
      <c r="BL84" s="58"/>
      <c r="BM84" s="58"/>
      <c r="BN84" s="58"/>
      <c r="BO84" s="58"/>
      <c r="BP84" s="58"/>
      <c r="BQ84" s="58"/>
      <c r="BR84" s="58"/>
      <c r="BS84" s="58"/>
      <c r="BT84" s="58"/>
      <c r="BU84" s="58"/>
      <c r="BV84" s="34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</row>
    <row r="85" spans="1:106">
      <c r="A85" s="19"/>
      <c r="B85" s="19"/>
      <c r="C85" s="16"/>
      <c r="D85" s="16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58"/>
      <c r="BJ85" s="58"/>
      <c r="BK85" s="58"/>
      <c r="BL85" s="58"/>
      <c r="BM85" s="58"/>
      <c r="BN85" s="58"/>
      <c r="BO85" s="58"/>
      <c r="BP85" s="58"/>
      <c r="BQ85" s="58"/>
      <c r="BR85" s="58"/>
      <c r="BS85" s="58"/>
      <c r="BT85" s="58"/>
      <c r="BU85" s="58"/>
      <c r="BV85" s="34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</row>
    <row r="86" spans="1:106">
      <c r="A86" s="19"/>
      <c r="B86" s="19"/>
      <c r="C86" s="16"/>
      <c r="D86" s="16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  <c r="AW86" s="58"/>
      <c r="AX86" s="58"/>
      <c r="AY86" s="58"/>
      <c r="AZ86" s="58"/>
      <c r="BA86" s="58"/>
      <c r="BB86" s="58"/>
      <c r="BC86" s="58"/>
      <c r="BD86" s="58"/>
      <c r="BE86" s="58"/>
      <c r="BF86" s="58"/>
      <c r="BG86" s="58"/>
      <c r="BH86" s="58"/>
      <c r="BI86" s="58"/>
      <c r="BJ86" s="58"/>
      <c r="BK86" s="58"/>
      <c r="BL86" s="58"/>
      <c r="BM86" s="58"/>
      <c r="BN86" s="58"/>
      <c r="BO86" s="58"/>
      <c r="BP86" s="58"/>
      <c r="BQ86" s="58"/>
      <c r="BR86" s="58"/>
      <c r="BS86" s="58"/>
      <c r="BT86" s="58"/>
      <c r="BU86" s="58"/>
      <c r="BV86" s="34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</row>
    <row r="87" spans="1:106">
      <c r="A87" s="19"/>
      <c r="B87" s="19"/>
      <c r="C87" s="16"/>
      <c r="D87" s="16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  <c r="AW87" s="58"/>
      <c r="AX87" s="58"/>
      <c r="AY87" s="58"/>
      <c r="AZ87" s="58"/>
      <c r="BA87" s="58"/>
      <c r="BB87" s="58"/>
      <c r="BC87" s="58"/>
      <c r="BD87" s="58"/>
      <c r="BE87" s="58"/>
      <c r="BF87" s="58"/>
      <c r="BG87" s="58"/>
      <c r="BH87" s="58"/>
      <c r="BI87" s="58"/>
      <c r="BJ87" s="58"/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34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</row>
    <row r="88" spans="1:106">
      <c r="A88" s="19"/>
      <c r="B88" s="19"/>
      <c r="C88" s="16"/>
      <c r="D88" s="16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  <c r="AW88" s="58"/>
      <c r="AX88" s="58"/>
      <c r="AY88" s="58"/>
      <c r="AZ88" s="58"/>
      <c r="BA88" s="58"/>
      <c r="BB88" s="58"/>
      <c r="BC88" s="58"/>
      <c r="BD88" s="58"/>
      <c r="BE88" s="58"/>
      <c r="BF88" s="58"/>
      <c r="BG88" s="58"/>
      <c r="BH88" s="58"/>
      <c r="BI88" s="58"/>
      <c r="BJ88" s="58"/>
      <c r="BK88" s="58"/>
      <c r="BL88" s="58"/>
      <c r="BM88" s="58"/>
      <c r="BN88" s="58"/>
      <c r="BO88" s="58"/>
      <c r="BP88" s="58"/>
      <c r="BQ88" s="58"/>
      <c r="BR88" s="58"/>
      <c r="BS88" s="58"/>
      <c r="BT88" s="58"/>
      <c r="BU88" s="58"/>
      <c r="BV88" s="34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</row>
    <row r="89" spans="1:106">
      <c r="A89" s="19"/>
      <c r="B89" s="19"/>
      <c r="C89" s="16"/>
      <c r="D89" s="16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  <c r="AW89" s="58"/>
      <c r="AX89" s="58"/>
      <c r="AY89" s="58"/>
      <c r="AZ89" s="58"/>
      <c r="BA89" s="58"/>
      <c r="BB89" s="58"/>
      <c r="BC89" s="58"/>
      <c r="BD89" s="58"/>
      <c r="BE89" s="58"/>
      <c r="BF89" s="58"/>
      <c r="BG89" s="58"/>
      <c r="BH89" s="58"/>
      <c r="BI89" s="58"/>
      <c r="BJ89" s="58"/>
      <c r="BK89" s="58"/>
      <c r="BL89" s="58"/>
      <c r="BM89" s="58"/>
      <c r="BN89" s="58"/>
      <c r="BO89" s="58"/>
      <c r="BP89" s="58"/>
      <c r="BQ89" s="58"/>
      <c r="BR89" s="58"/>
      <c r="BS89" s="58"/>
      <c r="BT89" s="58"/>
      <c r="BU89" s="58"/>
      <c r="BV89" s="34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</row>
    <row r="90" spans="1:106">
      <c r="A90" s="19"/>
      <c r="B90" s="19"/>
      <c r="C90" s="16"/>
      <c r="D90" s="16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  <c r="AW90" s="58"/>
      <c r="AX90" s="58"/>
      <c r="AY90" s="58"/>
      <c r="AZ90" s="58"/>
      <c r="BA90" s="58"/>
      <c r="BB90" s="58"/>
      <c r="BC90" s="58"/>
      <c r="BD90" s="58"/>
      <c r="BE90" s="58"/>
      <c r="BF90" s="58"/>
      <c r="BG90" s="58"/>
      <c r="BH90" s="58"/>
      <c r="BI90" s="58"/>
      <c r="BJ90" s="58"/>
      <c r="BK90" s="58"/>
      <c r="BL90" s="58"/>
      <c r="BM90" s="58"/>
      <c r="BN90" s="58"/>
      <c r="BO90" s="58"/>
      <c r="BP90" s="58"/>
      <c r="BQ90" s="58"/>
      <c r="BR90" s="58"/>
      <c r="BS90" s="58"/>
      <c r="BT90" s="58"/>
      <c r="BU90" s="58"/>
      <c r="BV90" s="34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</row>
    <row r="91" spans="1:106">
      <c r="C91" s="123"/>
      <c r="D91" s="123"/>
      <c r="E91" s="2"/>
      <c r="I91" s="123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  <c r="AW91" s="58"/>
      <c r="AX91" s="58"/>
      <c r="AY91" s="58"/>
      <c r="AZ91" s="58"/>
      <c r="BA91" s="58"/>
      <c r="BB91" s="58"/>
      <c r="BC91" s="58"/>
      <c r="BD91" s="58"/>
      <c r="BE91" s="58"/>
      <c r="BF91" s="58"/>
      <c r="BG91" s="58"/>
      <c r="BH91" s="58"/>
      <c r="BI91" s="58"/>
      <c r="BJ91" s="58"/>
      <c r="BK91" s="58"/>
      <c r="BL91" s="58"/>
      <c r="BM91" s="58"/>
      <c r="BN91" s="58"/>
      <c r="BO91" s="58"/>
      <c r="BP91" s="58"/>
      <c r="BQ91" s="58"/>
      <c r="BR91" s="58"/>
      <c r="BS91" s="58"/>
      <c r="BT91" s="58"/>
      <c r="BU91" s="58"/>
      <c r="BV91" s="34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</row>
    <row r="92" spans="1:106">
      <c r="C92" s="123"/>
      <c r="D92" s="123"/>
      <c r="E92" s="2"/>
      <c r="I92" s="123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  <c r="AW92" s="58"/>
      <c r="AX92" s="58"/>
      <c r="AY92" s="58"/>
      <c r="AZ92" s="58"/>
      <c r="BA92" s="58"/>
      <c r="BB92" s="58"/>
      <c r="BC92" s="58"/>
      <c r="BD92" s="58"/>
      <c r="BE92" s="58"/>
      <c r="BF92" s="58"/>
      <c r="BG92" s="58"/>
      <c r="BH92" s="58"/>
      <c r="BI92" s="58"/>
      <c r="BJ92" s="58"/>
      <c r="BK92" s="58"/>
      <c r="BL92" s="58"/>
      <c r="BM92" s="58"/>
      <c r="BN92" s="58"/>
      <c r="BO92" s="58"/>
      <c r="BP92" s="58"/>
      <c r="BQ92" s="58"/>
      <c r="BR92" s="58"/>
      <c r="BS92" s="58"/>
      <c r="BT92" s="58"/>
      <c r="BU92" s="58"/>
      <c r="BV92" s="34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</row>
    <row r="93" spans="1:106">
      <c r="C93" s="123"/>
      <c r="D93" s="123"/>
      <c r="E93" s="2"/>
      <c r="I93" s="123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  <c r="AW93" s="58"/>
      <c r="AX93" s="58"/>
      <c r="AY93" s="58"/>
      <c r="AZ93" s="58"/>
      <c r="BA93" s="58"/>
      <c r="BB93" s="58"/>
      <c r="BC93" s="58"/>
      <c r="BD93" s="58"/>
      <c r="BE93" s="58"/>
      <c r="BF93" s="58"/>
      <c r="BG93" s="58"/>
      <c r="BH93" s="58"/>
      <c r="BI93" s="58"/>
      <c r="BJ93" s="58"/>
      <c r="BK93" s="58"/>
      <c r="BL93" s="58"/>
      <c r="BM93" s="58"/>
      <c r="BN93" s="58"/>
      <c r="BO93" s="58"/>
      <c r="BP93" s="58"/>
      <c r="BQ93" s="58"/>
      <c r="BR93" s="58"/>
      <c r="BS93" s="58"/>
      <c r="BT93" s="58"/>
      <c r="BU93" s="58"/>
      <c r="BV93" s="34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</row>
    <row r="94" spans="1:106">
      <c r="C94" s="123"/>
      <c r="D94" s="123"/>
      <c r="E94" s="2"/>
      <c r="I94" s="123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  <c r="AW94" s="58"/>
      <c r="AX94" s="58"/>
      <c r="AY94" s="58"/>
      <c r="AZ94" s="58"/>
      <c r="BA94" s="58"/>
      <c r="BB94" s="58"/>
      <c r="BC94" s="58"/>
      <c r="BD94" s="58"/>
      <c r="BE94" s="58"/>
      <c r="BF94" s="58"/>
      <c r="BG94" s="58"/>
      <c r="BH94" s="58"/>
      <c r="BI94" s="58"/>
      <c r="BJ94" s="58"/>
      <c r="BK94" s="58"/>
      <c r="BL94" s="58"/>
      <c r="BM94" s="58"/>
      <c r="BN94" s="58"/>
      <c r="BO94" s="58"/>
      <c r="BP94" s="58"/>
      <c r="BQ94" s="58"/>
      <c r="BR94" s="58"/>
      <c r="BS94" s="58"/>
      <c r="BT94" s="58"/>
      <c r="BU94" s="58"/>
      <c r="BV94" s="34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</row>
    <row r="95" spans="1:106">
      <c r="C95" s="123"/>
      <c r="D95" s="123"/>
      <c r="E95" s="2"/>
      <c r="I95" s="123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8"/>
      <c r="BA95" s="58"/>
      <c r="BB95" s="58"/>
      <c r="BC95" s="58"/>
      <c r="BD95" s="58"/>
      <c r="BE95" s="58"/>
      <c r="BF95" s="58"/>
      <c r="BG95" s="58"/>
      <c r="BH95" s="58"/>
      <c r="BI95" s="58"/>
      <c r="BJ95" s="58"/>
      <c r="BK95" s="58"/>
      <c r="BL95" s="58"/>
      <c r="BM95" s="58"/>
      <c r="BN95" s="58"/>
      <c r="BO95" s="58"/>
      <c r="BP95" s="58"/>
      <c r="BQ95" s="58"/>
      <c r="BR95" s="58"/>
      <c r="BS95" s="58"/>
      <c r="BT95" s="58"/>
      <c r="BU95" s="58"/>
      <c r="BV95" s="34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</row>
    <row r="96" spans="1:106">
      <c r="C96" s="123"/>
      <c r="D96" s="123"/>
      <c r="E96" s="2"/>
      <c r="I96" s="123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8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  <c r="BJ96" s="58"/>
      <c r="BK96" s="58"/>
      <c r="BL96" s="58"/>
      <c r="BM96" s="58"/>
      <c r="BN96" s="58"/>
      <c r="BO96" s="58"/>
      <c r="BP96" s="58"/>
      <c r="BQ96" s="58"/>
      <c r="BR96" s="58"/>
      <c r="BS96" s="58"/>
      <c r="BT96" s="58"/>
      <c r="BU96" s="58"/>
      <c r="BV96" s="34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</row>
    <row r="97" spans="3:106">
      <c r="C97" s="123"/>
      <c r="D97" s="123"/>
      <c r="E97" s="2"/>
      <c r="I97" s="123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  <c r="AW97" s="58"/>
      <c r="AX97" s="58"/>
      <c r="AY97" s="58"/>
      <c r="AZ97" s="58"/>
      <c r="BA97" s="58"/>
      <c r="BB97" s="58"/>
      <c r="BC97" s="58"/>
      <c r="BD97" s="58"/>
      <c r="BE97" s="58"/>
      <c r="BF97" s="58"/>
      <c r="BG97" s="58"/>
      <c r="BH97" s="58"/>
      <c r="BI97" s="58"/>
      <c r="BJ97" s="58"/>
      <c r="BK97" s="58"/>
      <c r="BL97" s="58"/>
      <c r="BM97" s="58"/>
      <c r="BN97" s="58"/>
      <c r="BO97" s="58"/>
      <c r="BP97" s="58"/>
      <c r="BQ97" s="58"/>
      <c r="BR97" s="58"/>
      <c r="BS97" s="58"/>
      <c r="BT97" s="58"/>
      <c r="BU97" s="58"/>
      <c r="BV97" s="34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</row>
    <row r="98" spans="3:106">
      <c r="C98" s="123"/>
      <c r="D98" s="123"/>
      <c r="E98" s="2"/>
      <c r="I98" s="123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  <c r="BA98" s="58"/>
      <c r="BB98" s="58"/>
      <c r="BC98" s="58"/>
      <c r="BD98" s="58"/>
      <c r="BE98" s="58"/>
      <c r="BF98" s="58"/>
      <c r="BG98" s="58"/>
      <c r="BH98" s="58"/>
      <c r="BI98" s="58"/>
      <c r="BJ98" s="58"/>
      <c r="BK98" s="58"/>
      <c r="BL98" s="58"/>
      <c r="BM98" s="58"/>
      <c r="BN98" s="58"/>
      <c r="BO98" s="58"/>
      <c r="BP98" s="58"/>
      <c r="BQ98" s="58"/>
      <c r="BR98" s="58"/>
      <c r="BS98" s="58"/>
      <c r="BT98" s="58"/>
      <c r="BU98" s="58"/>
      <c r="BV98" s="34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</row>
    <row r="99" spans="3:106">
      <c r="C99" s="123"/>
      <c r="D99" s="123"/>
      <c r="E99" s="2"/>
      <c r="I99" s="123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  <c r="AW99" s="58"/>
      <c r="AX99" s="58"/>
      <c r="AY99" s="58"/>
      <c r="AZ99" s="58"/>
      <c r="BA99" s="58"/>
      <c r="BB99" s="58"/>
      <c r="BC99" s="58"/>
      <c r="BD99" s="58"/>
      <c r="BE99" s="58"/>
      <c r="BF99" s="58"/>
      <c r="BG99" s="58"/>
      <c r="BH99" s="58"/>
      <c r="BI99" s="58"/>
      <c r="BJ99" s="58"/>
      <c r="BK99" s="58"/>
      <c r="BL99" s="58"/>
      <c r="BM99" s="58"/>
      <c r="BN99" s="58"/>
      <c r="BO99" s="58"/>
      <c r="BP99" s="58"/>
      <c r="BQ99" s="58"/>
      <c r="BR99" s="58"/>
      <c r="BS99" s="58"/>
      <c r="BT99" s="58"/>
      <c r="BU99" s="58"/>
      <c r="BV99" s="34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</row>
    <row r="100" spans="3:106">
      <c r="C100" s="123"/>
      <c r="D100" s="123"/>
      <c r="E100" s="2"/>
      <c r="I100" s="123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  <c r="AW100" s="58"/>
      <c r="AX100" s="58"/>
      <c r="AY100" s="58"/>
      <c r="AZ100" s="58"/>
      <c r="BA100" s="58"/>
      <c r="BB100" s="58"/>
      <c r="BC100" s="58"/>
      <c r="BD100" s="58"/>
      <c r="BE100" s="58"/>
      <c r="BF100" s="58"/>
      <c r="BG100" s="58"/>
      <c r="BH100" s="58"/>
      <c r="BI100" s="58"/>
      <c r="BJ100" s="58"/>
      <c r="BK100" s="58"/>
      <c r="BL100" s="58"/>
      <c r="BM100" s="58"/>
      <c r="BN100" s="58"/>
      <c r="BO100" s="58"/>
      <c r="BP100" s="58"/>
      <c r="BQ100" s="58"/>
      <c r="BR100" s="58"/>
      <c r="BS100" s="58"/>
      <c r="BT100" s="58"/>
      <c r="BU100" s="58"/>
      <c r="BV100" s="34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</row>
    <row r="101" spans="3:106">
      <c r="C101" s="123"/>
      <c r="D101" s="123"/>
      <c r="E101" s="2"/>
      <c r="I101" s="123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  <c r="AW101" s="58"/>
      <c r="AX101" s="58"/>
      <c r="AY101" s="58"/>
      <c r="AZ101" s="58"/>
      <c r="BA101" s="58"/>
      <c r="BB101" s="58"/>
      <c r="BC101" s="58"/>
      <c r="BD101" s="58"/>
      <c r="BE101" s="58"/>
      <c r="BF101" s="58"/>
      <c r="BG101" s="58"/>
      <c r="BH101" s="58"/>
      <c r="BI101" s="58"/>
      <c r="BJ101" s="58"/>
      <c r="BK101" s="58"/>
      <c r="BL101" s="58"/>
      <c r="BM101" s="58"/>
      <c r="BN101" s="58"/>
      <c r="BO101" s="58"/>
      <c r="BP101" s="58"/>
      <c r="BQ101" s="58"/>
      <c r="BR101" s="58"/>
      <c r="BS101" s="58"/>
      <c r="BT101" s="58"/>
      <c r="BU101" s="58"/>
      <c r="BV101" s="34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</row>
    <row r="102" spans="3:106">
      <c r="C102" s="123"/>
      <c r="D102" s="123"/>
      <c r="E102" s="2"/>
      <c r="I102" s="123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  <c r="AW102" s="58"/>
      <c r="AX102" s="58"/>
      <c r="AY102" s="58"/>
      <c r="AZ102" s="58"/>
      <c r="BA102" s="58"/>
      <c r="BB102" s="58"/>
      <c r="BC102" s="58"/>
      <c r="BD102" s="58"/>
      <c r="BE102" s="58"/>
      <c r="BF102" s="58"/>
      <c r="BG102" s="58"/>
      <c r="BH102" s="58"/>
      <c r="BI102" s="58"/>
      <c r="BJ102" s="58"/>
      <c r="BK102" s="58"/>
      <c r="BL102" s="58"/>
      <c r="BM102" s="58"/>
      <c r="BN102" s="58"/>
      <c r="BO102" s="58"/>
      <c r="BP102" s="58"/>
      <c r="BQ102" s="58"/>
      <c r="BR102" s="58"/>
      <c r="BS102" s="58"/>
      <c r="BT102" s="58"/>
      <c r="BU102" s="58"/>
      <c r="BV102" s="34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</row>
    <row r="103" spans="3:106">
      <c r="C103" s="123"/>
      <c r="D103" s="123"/>
      <c r="E103" s="2"/>
      <c r="I103" s="123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  <c r="AW103" s="58"/>
      <c r="AX103" s="58"/>
      <c r="AY103" s="58"/>
      <c r="AZ103" s="58"/>
      <c r="BA103" s="58"/>
      <c r="BB103" s="58"/>
      <c r="BC103" s="58"/>
      <c r="BD103" s="58"/>
      <c r="BE103" s="58"/>
      <c r="BF103" s="58"/>
      <c r="BG103" s="58"/>
      <c r="BH103" s="58"/>
      <c r="BI103" s="58"/>
      <c r="BJ103" s="58"/>
      <c r="BK103" s="58"/>
      <c r="BL103" s="58"/>
      <c r="BM103" s="58"/>
      <c r="BN103" s="58"/>
      <c r="BO103" s="58"/>
      <c r="BP103" s="58"/>
      <c r="BQ103" s="58"/>
      <c r="BR103" s="58"/>
      <c r="BS103" s="58"/>
      <c r="BT103" s="58"/>
      <c r="BU103" s="58"/>
      <c r="BV103" s="34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</row>
    <row r="104" spans="3:106">
      <c r="C104" s="123"/>
      <c r="D104" s="123"/>
      <c r="E104" s="2"/>
      <c r="I104" s="123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  <c r="BJ104" s="58"/>
      <c r="BK104" s="58"/>
      <c r="BL104" s="58"/>
      <c r="BM104" s="58"/>
      <c r="BN104" s="58"/>
      <c r="BO104" s="58"/>
      <c r="BP104" s="58"/>
      <c r="BQ104" s="58"/>
      <c r="BR104" s="58"/>
      <c r="BS104" s="58"/>
      <c r="BT104" s="58"/>
      <c r="BU104" s="58"/>
      <c r="BV104" s="34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</row>
    <row r="105" spans="3:106">
      <c r="C105" s="123"/>
      <c r="D105" s="123"/>
      <c r="E105" s="2"/>
      <c r="I105" s="123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  <c r="AW105" s="58"/>
      <c r="AX105" s="58"/>
      <c r="AY105" s="58"/>
      <c r="AZ105" s="58"/>
      <c r="BA105" s="58"/>
      <c r="BB105" s="58"/>
      <c r="BC105" s="58"/>
      <c r="BD105" s="58"/>
      <c r="BE105" s="58"/>
      <c r="BF105" s="58"/>
      <c r="BG105" s="58"/>
      <c r="BH105" s="58"/>
      <c r="BI105" s="58"/>
      <c r="BJ105" s="58"/>
      <c r="BK105" s="58"/>
      <c r="BL105" s="58"/>
      <c r="BM105" s="58"/>
      <c r="BN105" s="58"/>
      <c r="BO105" s="58"/>
      <c r="BP105" s="58"/>
      <c r="BQ105" s="58"/>
      <c r="BR105" s="58"/>
      <c r="BS105" s="58"/>
      <c r="BT105" s="58"/>
      <c r="BU105" s="58"/>
      <c r="BV105" s="34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</row>
    <row r="106" spans="3:106">
      <c r="C106" s="123"/>
      <c r="D106" s="123"/>
      <c r="E106" s="2"/>
      <c r="I106" s="123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  <c r="BJ106" s="58"/>
      <c r="BK106" s="58"/>
      <c r="BL106" s="58"/>
      <c r="BM106" s="58"/>
      <c r="BN106" s="58"/>
      <c r="BO106" s="58"/>
      <c r="BP106" s="58"/>
      <c r="BQ106" s="58"/>
      <c r="BR106" s="58"/>
      <c r="BS106" s="58"/>
      <c r="BT106" s="58"/>
      <c r="BU106" s="58"/>
      <c r="BV106" s="34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</row>
    <row r="107" spans="3:106">
      <c r="C107" s="123"/>
      <c r="D107" s="123"/>
      <c r="E107" s="2"/>
      <c r="I107" s="123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  <c r="AW107" s="58"/>
      <c r="AX107" s="58"/>
      <c r="AY107" s="58"/>
      <c r="AZ107" s="58"/>
      <c r="BA107" s="58"/>
      <c r="BB107" s="58"/>
      <c r="BC107" s="58"/>
      <c r="BD107" s="58"/>
      <c r="BE107" s="58"/>
      <c r="BF107" s="58"/>
      <c r="BG107" s="58"/>
      <c r="BH107" s="58"/>
      <c r="BI107" s="58"/>
      <c r="BJ107" s="58"/>
      <c r="BK107" s="58"/>
      <c r="BL107" s="58"/>
      <c r="BM107" s="58"/>
      <c r="BN107" s="58"/>
      <c r="BO107" s="58"/>
      <c r="BP107" s="58"/>
      <c r="BQ107" s="58"/>
      <c r="BR107" s="58"/>
      <c r="BS107" s="58"/>
      <c r="BT107" s="58"/>
      <c r="BU107" s="58"/>
      <c r="BV107" s="34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</row>
    <row r="108" spans="3:106">
      <c r="C108" s="123"/>
      <c r="D108" s="123"/>
      <c r="E108" s="2"/>
      <c r="I108" s="123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58"/>
      <c r="BK108" s="58"/>
      <c r="BL108" s="58"/>
      <c r="BM108" s="58"/>
      <c r="BN108" s="58"/>
      <c r="BO108" s="58"/>
      <c r="BP108" s="58"/>
      <c r="BQ108" s="58"/>
      <c r="BR108" s="58"/>
      <c r="BS108" s="58"/>
      <c r="BT108" s="58"/>
      <c r="BU108" s="58"/>
      <c r="BV108" s="34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</row>
    <row r="109" spans="3:106">
      <c r="C109" s="123"/>
      <c r="D109" s="123"/>
      <c r="E109" s="2"/>
      <c r="I109" s="123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  <c r="AW109" s="58"/>
      <c r="AX109" s="58"/>
      <c r="AY109" s="58"/>
      <c r="AZ109" s="58"/>
      <c r="BA109" s="58"/>
      <c r="BB109" s="58"/>
      <c r="BC109" s="58"/>
      <c r="BD109" s="58"/>
      <c r="BE109" s="58"/>
      <c r="BF109" s="58"/>
      <c r="BG109" s="58"/>
      <c r="BH109" s="58"/>
      <c r="BI109" s="58"/>
      <c r="BJ109" s="58"/>
      <c r="BK109" s="58"/>
      <c r="BL109" s="58"/>
      <c r="BM109" s="58"/>
      <c r="BN109" s="58"/>
      <c r="BO109" s="58"/>
      <c r="BP109" s="58"/>
      <c r="BQ109" s="58"/>
      <c r="BR109" s="58"/>
      <c r="BS109" s="58"/>
      <c r="BT109" s="58"/>
      <c r="BU109" s="58"/>
      <c r="BV109" s="34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</row>
    <row r="110" spans="3:106">
      <c r="C110" s="123"/>
      <c r="D110" s="123"/>
      <c r="E110" s="2"/>
      <c r="I110" s="123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  <c r="AW110" s="58"/>
      <c r="AX110" s="58"/>
      <c r="AY110" s="58"/>
      <c r="AZ110" s="58"/>
      <c r="BA110" s="58"/>
      <c r="BB110" s="58"/>
      <c r="BC110" s="58"/>
      <c r="BD110" s="58"/>
      <c r="BE110" s="58"/>
      <c r="BF110" s="58"/>
      <c r="BG110" s="58"/>
      <c r="BH110" s="58"/>
      <c r="BI110" s="58"/>
      <c r="BJ110" s="58"/>
      <c r="BK110" s="58"/>
      <c r="BL110" s="58"/>
      <c r="BM110" s="58"/>
      <c r="BN110" s="58"/>
      <c r="BO110" s="58"/>
      <c r="BP110" s="58"/>
      <c r="BQ110" s="58"/>
      <c r="BR110" s="58"/>
      <c r="BS110" s="58"/>
      <c r="BT110" s="58"/>
      <c r="BU110" s="58"/>
      <c r="BV110" s="34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</row>
    <row r="111" spans="3:106">
      <c r="C111" s="123"/>
      <c r="D111" s="123"/>
      <c r="E111" s="2"/>
      <c r="I111" s="123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  <c r="AW111" s="58"/>
      <c r="AX111" s="58"/>
      <c r="AY111" s="58"/>
      <c r="AZ111" s="58"/>
      <c r="BA111" s="58"/>
      <c r="BB111" s="58"/>
      <c r="BC111" s="58"/>
      <c r="BD111" s="58"/>
      <c r="BE111" s="58"/>
      <c r="BF111" s="58"/>
      <c r="BG111" s="58"/>
      <c r="BH111" s="58"/>
      <c r="BI111" s="58"/>
      <c r="BJ111" s="58"/>
      <c r="BK111" s="58"/>
      <c r="BL111" s="58"/>
      <c r="BM111" s="58"/>
      <c r="BN111" s="58"/>
      <c r="BO111" s="58"/>
      <c r="BP111" s="58"/>
      <c r="BQ111" s="58"/>
      <c r="BR111" s="58"/>
      <c r="BS111" s="58"/>
      <c r="BT111" s="58"/>
      <c r="BU111" s="58"/>
      <c r="BV111" s="34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</row>
    <row r="112" spans="3:106">
      <c r="C112" s="123"/>
      <c r="D112" s="123"/>
      <c r="E112" s="2"/>
      <c r="I112" s="123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  <c r="AW112" s="58"/>
      <c r="AX112" s="58"/>
      <c r="AY112" s="58"/>
      <c r="AZ112" s="58"/>
      <c r="BA112" s="58"/>
      <c r="BB112" s="58"/>
      <c r="BC112" s="58"/>
      <c r="BD112" s="58"/>
      <c r="BE112" s="58"/>
      <c r="BF112" s="58"/>
      <c r="BG112" s="58"/>
      <c r="BH112" s="58"/>
      <c r="BI112" s="58"/>
      <c r="BJ112" s="58"/>
      <c r="BK112" s="58"/>
      <c r="BL112" s="58"/>
      <c r="BM112" s="58"/>
      <c r="BN112" s="58"/>
      <c r="BO112" s="58"/>
      <c r="BP112" s="58"/>
      <c r="BQ112" s="58"/>
      <c r="BR112" s="58"/>
      <c r="BS112" s="58"/>
      <c r="BT112" s="58"/>
      <c r="BU112" s="58"/>
      <c r="BV112" s="34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</row>
    <row r="113" spans="3:106">
      <c r="C113" s="123"/>
      <c r="D113" s="123"/>
      <c r="E113" s="2"/>
      <c r="I113" s="123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  <c r="AW113" s="58"/>
      <c r="AX113" s="58"/>
      <c r="AY113" s="58"/>
      <c r="AZ113" s="58"/>
      <c r="BA113" s="58"/>
      <c r="BB113" s="58"/>
      <c r="BC113" s="58"/>
      <c r="BD113" s="58"/>
      <c r="BE113" s="58"/>
      <c r="BF113" s="58"/>
      <c r="BG113" s="58"/>
      <c r="BH113" s="58"/>
      <c r="BI113" s="58"/>
      <c r="BJ113" s="58"/>
      <c r="BK113" s="58"/>
      <c r="BL113" s="58"/>
      <c r="BM113" s="58"/>
      <c r="BN113" s="58"/>
      <c r="BO113" s="58"/>
      <c r="BP113" s="58"/>
      <c r="BQ113" s="58"/>
      <c r="BR113" s="58"/>
      <c r="BS113" s="58"/>
      <c r="BT113" s="58"/>
      <c r="BU113" s="58"/>
      <c r="BV113" s="34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</row>
    <row r="114" spans="3:106">
      <c r="C114" s="123"/>
      <c r="D114" s="123"/>
      <c r="E114" s="2"/>
      <c r="I114" s="123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  <c r="AW114" s="58"/>
      <c r="AX114" s="58"/>
      <c r="AY114" s="58"/>
      <c r="AZ114" s="58"/>
      <c r="BA114" s="58"/>
      <c r="BB114" s="58"/>
      <c r="BC114" s="58"/>
      <c r="BD114" s="58"/>
      <c r="BE114" s="58"/>
      <c r="BF114" s="58"/>
      <c r="BG114" s="58"/>
      <c r="BH114" s="58"/>
      <c r="BI114" s="58"/>
      <c r="BJ114" s="58"/>
      <c r="BK114" s="58"/>
      <c r="BL114" s="58"/>
      <c r="BM114" s="58"/>
      <c r="BN114" s="58"/>
      <c r="BO114" s="58"/>
      <c r="BP114" s="58"/>
      <c r="BQ114" s="58"/>
      <c r="BR114" s="58"/>
      <c r="BS114" s="58"/>
      <c r="BT114" s="58"/>
      <c r="BU114" s="58"/>
      <c r="BV114" s="34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</row>
    <row r="115" spans="3:106">
      <c r="C115" s="123"/>
      <c r="D115" s="123"/>
      <c r="E115" s="2"/>
      <c r="I115" s="123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  <c r="AW115" s="58"/>
      <c r="AX115" s="58"/>
      <c r="AY115" s="58"/>
      <c r="AZ115" s="58"/>
      <c r="BA115" s="58"/>
      <c r="BB115" s="58"/>
      <c r="BC115" s="58"/>
      <c r="BD115" s="58"/>
      <c r="BE115" s="58"/>
      <c r="BF115" s="58"/>
      <c r="BG115" s="58"/>
      <c r="BH115" s="58"/>
      <c r="BI115" s="58"/>
      <c r="BJ115" s="58"/>
      <c r="BK115" s="58"/>
      <c r="BL115" s="58"/>
      <c r="BM115" s="58"/>
      <c r="BN115" s="58"/>
      <c r="BO115" s="58"/>
      <c r="BP115" s="58"/>
      <c r="BQ115" s="58"/>
      <c r="BR115" s="58"/>
      <c r="BS115" s="58"/>
      <c r="BT115" s="58"/>
      <c r="BU115" s="58"/>
      <c r="BV115" s="34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</row>
    <row r="116" spans="3:106">
      <c r="C116" s="123"/>
      <c r="D116" s="123"/>
      <c r="E116" s="2"/>
      <c r="I116" s="123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  <c r="AW116" s="58"/>
      <c r="AX116" s="58"/>
      <c r="AY116" s="58"/>
      <c r="AZ116" s="58"/>
      <c r="BA116" s="58"/>
      <c r="BB116" s="58"/>
      <c r="BC116" s="58"/>
      <c r="BD116" s="58"/>
      <c r="BE116" s="58"/>
      <c r="BF116" s="58"/>
      <c r="BG116" s="58"/>
      <c r="BH116" s="58"/>
      <c r="BI116" s="58"/>
      <c r="BJ116" s="58"/>
      <c r="BK116" s="58"/>
      <c r="BL116" s="58"/>
      <c r="BM116" s="58"/>
      <c r="BN116" s="58"/>
      <c r="BO116" s="58"/>
      <c r="BP116" s="58"/>
      <c r="BQ116" s="58"/>
      <c r="BR116" s="58"/>
      <c r="BS116" s="58"/>
      <c r="BT116" s="58"/>
      <c r="BU116" s="58"/>
      <c r="BV116" s="34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</row>
    <row r="117" spans="3:106">
      <c r="C117" s="123"/>
      <c r="D117" s="123"/>
      <c r="E117" s="2"/>
      <c r="I117" s="123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  <c r="AW117" s="58"/>
      <c r="AX117" s="58"/>
      <c r="AY117" s="58"/>
      <c r="AZ117" s="58"/>
      <c r="BA117" s="58"/>
      <c r="BB117" s="58"/>
      <c r="BC117" s="58"/>
      <c r="BD117" s="58"/>
      <c r="BE117" s="58"/>
      <c r="BF117" s="58"/>
      <c r="BG117" s="58"/>
      <c r="BH117" s="58"/>
      <c r="BI117" s="58"/>
      <c r="BJ117" s="58"/>
      <c r="BK117" s="58"/>
      <c r="BL117" s="58"/>
      <c r="BM117" s="58"/>
      <c r="BN117" s="58"/>
      <c r="BO117" s="58"/>
      <c r="BP117" s="58"/>
      <c r="BQ117" s="58"/>
      <c r="BR117" s="58"/>
      <c r="BS117" s="58"/>
      <c r="BT117" s="58"/>
      <c r="BU117" s="58"/>
      <c r="BV117" s="34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</row>
    <row r="118" spans="3:106">
      <c r="C118" s="123"/>
      <c r="D118" s="123"/>
      <c r="E118" s="2"/>
      <c r="I118" s="123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  <c r="AW118" s="58"/>
      <c r="AX118" s="58"/>
      <c r="AY118" s="58"/>
      <c r="AZ118" s="58"/>
      <c r="BA118" s="58"/>
      <c r="BB118" s="58"/>
      <c r="BC118" s="58"/>
      <c r="BD118" s="58"/>
      <c r="BE118" s="58"/>
      <c r="BF118" s="58"/>
      <c r="BG118" s="58"/>
      <c r="BH118" s="58"/>
      <c r="BI118" s="58"/>
      <c r="BJ118" s="58"/>
      <c r="BK118" s="58"/>
      <c r="BL118" s="58"/>
      <c r="BM118" s="58"/>
      <c r="BN118" s="58"/>
      <c r="BO118" s="58"/>
      <c r="BP118" s="58"/>
      <c r="BQ118" s="58"/>
      <c r="BR118" s="58"/>
      <c r="BS118" s="58"/>
      <c r="BT118" s="58"/>
      <c r="BU118" s="58"/>
      <c r="BV118" s="34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</row>
    <row r="119" spans="3:106">
      <c r="C119" s="123"/>
      <c r="D119" s="123"/>
      <c r="E119" s="2"/>
      <c r="I119" s="123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8"/>
      <c r="BK119" s="58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34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</row>
    <row r="120" spans="3:106">
      <c r="C120" s="123"/>
      <c r="D120" s="123"/>
      <c r="E120" s="2"/>
      <c r="I120" s="123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  <c r="AW120" s="58"/>
      <c r="AX120" s="58"/>
      <c r="AY120" s="58"/>
      <c r="AZ120" s="58"/>
      <c r="BA120" s="58"/>
      <c r="BB120" s="58"/>
      <c r="BC120" s="58"/>
      <c r="BD120" s="58"/>
      <c r="BE120" s="58"/>
      <c r="BF120" s="58"/>
      <c r="BG120" s="58"/>
      <c r="BH120" s="58"/>
      <c r="BI120" s="58"/>
      <c r="BJ120" s="58"/>
      <c r="BK120" s="58"/>
      <c r="BL120" s="58"/>
      <c r="BM120" s="58"/>
      <c r="BN120" s="58"/>
      <c r="BO120" s="58"/>
      <c r="BP120" s="58"/>
      <c r="BQ120" s="58"/>
      <c r="BR120" s="58"/>
      <c r="BS120" s="58"/>
      <c r="BT120" s="58"/>
      <c r="BU120" s="58"/>
      <c r="BV120" s="34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</row>
    <row r="121" spans="3:106">
      <c r="C121" s="123"/>
      <c r="D121" s="123"/>
      <c r="E121" s="2"/>
      <c r="I121" s="123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  <c r="AW121" s="58"/>
      <c r="AX121" s="58"/>
      <c r="AY121" s="58"/>
      <c r="AZ121" s="58"/>
      <c r="BA121" s="58"/>
      <c r="BB121" s="58"/>
      <c r="BC121" s="58"/>
      <c r="BD121" s="58"/>
      <c r="BE121" s="58"/>
      <c r="BF121" s="58"/>
      <c r="BG121" s="58"/>
      <c r="BH121" s="58"/>
      <c r="BI121" s="58"/>
      <c r="BJ121" s="58"/>
      <c r="BK121" s="58"/>
      <c r="BL121" s="58"/>
      <c r="BM121" s="58"/>
      <c r="BN121" s="58"/>
      <c r="BO121" s="58"/>
      <c r="BP121" s="58"/>
      <c r="BQ121" s="58"/>
      <c r="BR121" s="58"/>
      <c r="BS121" s="58"/>
      <c r="BT121" s="58"/>
      <c r="BU121" s="58"/>
      <c r="BV121" s="34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</row>
    <row r="122" spans="3:106">
      <c r="C122" s="123"/>
      <c r="D122" s="123"/>
      <c r="E122" s="2"/>
      <c r="I122" s="123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  <c r="AW122" s="58"/>
      <c r="AX122" s="58"/>
      <c r="AY122" s="58"/>
      <c r="AZ122" s="58"/>
      <c r="BA122" s="58"/>
      <c r="BB122" s="58"/>
      <c r="BC122" s="58"/>
      <c r="BD122" s="58"/>
      <c r="BE122" s="58"/>
      <c r="BF122" s="58"/>
      <c r="BG122" s="58"/>
      <c r="BH122" s="58"/>
      <c r="BI122" s="58"/>
      <c r="BJ122" s="58"/>
      <c r="BK122" s="58"/>
      <c r="BL122" s="58"/>
      <c r="BM122" s="58"/>
      <c r="BN122" s="58"/>
      <c r="BO122" s="58"/>
      <c r="BP122" s="58"/>
      <c r="BQ122" s="58"/>
      <c r="BR122" s="58"/>
      <c r="BS122" s="58"/>
      <c r="BT122" s="58"/>
      <c r="BU122" s="58"/>
      <c r="BV122" s="34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</row>
    <row r="123" spans="3:106">
      <c r="C123" s="123"/>
      <c r="D123" s="123"/>
      <c r="E123" s="2"/>
      <c r="I123" s="123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  <c r="AW123" s="58"/>
      <c r="AX123" s="58"/>
      <c r="AY123" s="58"/>
      <c r="AZ123" s="58"/>
      <c r="BA123" s="58"/>
      <c r="BB123" s="58"/>
      <c r="BC123" s="58"/>
      <c r="BD123" s="58"/>
      <c r="BE123" s="58"/>
      <c r="BF123" s="58"/>
      <c r="BG123" s="58"/>
      <c r="BH123" s="58"/>
      <c r="BI123" s="58"/>
      <c r="BJ123" s="58"/>
      <c r="BK123" s="58"/>
      <c r="BL123" s="58"/>
      <c r="BM123" s="58"/>
      <c r="BN123" s="58"/>
      <c r="BO123" s="58"/>
      <c r="BP123" s="58"/>
      <c r="BQ123" s="58"/>
      <c r="BR123" s="58"/>
      <c r="BS123" s="58"/>
      <c r="BT123" s="58"/>
      <c r="BU123" s="58"/>
      <c r="BV123" s="34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</row>
    <row r="124" spans="3:106">
      <c r="C124" s="123"/>
      <c r="D124" s="123"/>
      <c r="E124" s="2"/>
      <c r="I124" s="123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  <c r="AW124" s="58"/>
      <c r="AX124" s="58"/>
      <c r="AY124" s="58"/>
      <c r="AZ124" s="58"/>
      <c r="BA124" s="58"/>
      <c r="BB124" s="58"/>
      <c r="BC124" s="58"/>
      <c r="BD124" s="58"/>
      <c r="BE124" s="58"/>
      <c r="BF124" s="58"/>
      <c r="BG124" s="58"/>
      <c r="BH124" s="58"/>
      <c r="BI124" s="58"/>
      <c r="BJ124" s="58"/>
      <c r="BK124" s="58"/>
      <c r="BL124" s="58"/>
      <c r="BM124" s="58"/>
      <c r="BN124" s="58"/>
      <c r="BO124" s="58"/>
      <c r="BP124" s="58"/>
      <c r="BQ124" s="58"/>
      <c r="BR124" s="58"/>
      <c r="BS124" s="58"/>
      <c r="BT124" s="58"/>
      <c r="BU124" s="58"/>
      <c r="BV124" s="34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</row>
    <row r="125" spans="3:106">
      <c r="C125" s="123"/>
      <c r="D125" s="123"/>
      <c r="E125" s="2"/>
      <c r="I125" s="123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  <c r="AY125" s="58"/>
      <c r="AZ125" s="58"/>
      <c r="BA125" s="58"/>
      <c r="BB125" s="58"/>
      <c r="BC125" s="58"/>
      <c r="BD125" s="58"/>
      <c r="BE125" s="58"/>
      <c r="BF125" s="58"/>
      <c r="BG125" s="58"/>
      <c r="BH125" s="58"/>
      <c r="BI125" s="58"/>
      <c r="BJ125" s="58"/>
      <c r="BK125" s="58"/>
      <c r="BL125" s="58"/>
      <c r="BM125" s="58"/>
      <c r="BN125" s="58"/>
      <c r="BO125" s="58"/>
      <c r="BP125" s="58"/>
      <c r="BQ125" s="58"/>
      <c r="BR125" s="58"/>
      <c r="BS125" s="58"/>
      <c r="BT125" s="58"/>
      <c r="BU125" s="58"/>
      <c r="BV125" s="34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</row>
    <row r="126" spans="3:106">
      <c r="C126" s="123"/>
      <c r="D126" s="123"/>
      <c r="E126" s="2"/>
      <c r="I126" s="123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  <c r="AW126" s="58"/>
      <c r="AX126" s="58"/>
      <c r="AY126" s="58"/>
      <c r="AZ126" s="58"/>
      <c r="BA126" s="58"/>
      <c r="BB126" s="58"/>
      <c r="BC126" s="58"/>
      <c r="BD126" s="58"/>
      <c r="BE126" s="58"/>
      <c r="BF126" s="58"/>
      <c r="BG126" s="58"/>
      <c r="BH126" s="58"/>
      <c r="BI126" s="58"/>
      <c r="BJ126" s="58"/>
      <c r="BK126" s="58"/>
      <c r="BL126" s="58"/>
      <c r="BM126" s="58"/>
      <c r="BN126" s="58"/>
      <c r="BO126" s="58"/>
      <c r="BP126" s="58"/>
      <c r="BQ126" s="58"/>
      <c r="BR126" s="58"/>
      <c r="BS126" s="58"/>
      <c r="BT126" s="58"/>
      <c r="BU126" s="58"/>
      <c r="BV126" s="34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</row>
    <row r="127" spans="3:106">
      <c r="C127" s="123"/>
      <c r="D127" s="123"/>
      <c r="E127" s="2"/>
      <c r="I127" s="123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  <c r="AW127" s="58"/>
      <c r="AX127" s="58"/>
      <c r="AY127" s="58"/>
      <c r="AZ127" s="58"/>
      <c r="BA127" s="58"/>
      <c r="BB127" s="58"/>
      <c r="BC127" s="58"/>
      <c r="BD127" s="58"/>
      <c r="BE127" s="58"/>
      <c r="BF127" s="58"/>
      <c r="BG127" s="58"/>
      <c r="BH127" s="58"/>
      <c r="BI127" s="58"/>
      <c r="BJ127" s="58"/>
      <c r="BK127" s="58"/>
      <c r="BL127" s="58"/>
      <c r="BM127" s="58"/>
      <c r="BN127" s="58"/>
      <c r="BO127" s="58"/>
      <c r="BP127" s="58"/>
      <c r="BQ127" s="58"/>
      <c r="BR127" s="58"/>
      <c r="BS127" s="58"/>
      <c r="BT127" s="58"/>
      <c r="BU127" s="58"/>
      <c r="BV127" s="34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</row>
    <row r="128" spans="3:106">
      <c r="C128" s="123"/>
      <c r="D128" s="123"/>
      <c r="E128" s="2"/>
      <c r="I128" s="123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  <c r="AW128" s="58"/>
      <c r="AX128" s="58"/>
      <c r="AY128" s="58"/>
      <c r="AZ128" s="58"/>
      <c r="BA128" s="58"/>
      <c r="BB128" s="58"/>
      <c r="BC128" s="58"/>
      <c r="BD128" s="58"/>
      <c r="BE128" s="58"/>
      <c r="BF128" s="58"/>
      <c r="BG128" s="58"/>
      <c r="BH128" s="58"/>
      <c r="BI128" s="58"/>
      <c r="BJ128" s="58"/>
      <c r="BK128" s="58"/>
      <c r="BL128" s="58"/>
      <c r="BM128" s="58"/>
      <c r="BN128" s="58"/>
      <c r="BO128" s="58"/>
      <c r="BP128" s="58"/>
      <c r="BQ128" s="58"/>
      <c r="BR128" s="58"/>
      <c r="BS128" s="58"/>
      <c r="BT128" s="58"/>
      <c r="BU128" s="58"/>
      <c r="BV128" s="34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</row>
    <row r="129" spans="3:106">
      <c r="C129" s="123"/>
      <c r="D129" s="123"/>
      <c r="E129" s="2"/>
      <c r="I129" s="123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  <c r="AW129" s="58"/>
      <c r="AX129" s="58"/>
      <c r="AY129" s="58"/>
      <c r="AZ129" s="58"/>
      <c r="BA129" s="58"/>
      <c r="BB129" s="58"/>
      <c r="BC129" s="58"/>
      <c r="BD129" s="58"/>
      <c r="BE129" s="58"/>
      <c r="BF129" s="58"/>
      <c r="BG129" s="58"/>
      <c r="BH129" s="58"/>
      <c r="BI129" s="58"/>
      <c r="BJ129" s="58"/>
      <c r="BK129" s="58"/>
      <c r="BL129" s="58"/>
      <c r="BM129" s="58"/>
      <c r="BN129" s="58"/>
      <c r="BO129" s="58"/>
      <c r="BP129" s="58"/>
      <c r="BQ129" s="58"/>
      <c r="BR129" s="58"/>
      <c r="BS129" s="58"/>
      <c r="BT129" s="58"/>
      <c r="BU129" s="58"/>
      <c r="BV129" s="34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</row>
    <row r="130" spans="3:106">
      <c r="C130" s="123"/>
      <c r="D130" s="123"/>
      <c r="E130" s="2"/>
      <c r="I130" s="123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  <c r="AW130" s="58"/>
      <c r="AX130" s="58"/>
      <c r="AY130" s="58"/>
      <c r="AZ130" s="58"/>
      <c r="BA130" s="58"/>
      <c r="BB130" s="58"/>
      <c r="BC130" s="58"/>
      <c r="BD130" s="58"/>
      <c r="BE130" s="58"/>
      <c r="BF130" s="58"/>
      <c r="BG130" s="58"/>
      <c r="BH130" s="58"/>
      <c r="BI130" s="58"/>
      <c r="BJ130" s="58"/>
      <c r="BK130" s="58"/>
      <c r="BL130" s="58"/>
      <c r="BM130" s="58"/>
      <c r="BN130" s="58"/>
      <c r="BO130" s="58"/>
      <c r="BP130" s="58"/>
      <c r="BQ130" s="58"/>
      <c r="BR130" s="58"/>
      <c r="BS130" s="58"/>
      <c r="BT130" s="58"/>
      <c r="BU130" s="58"/>
      <c r="BV130" s="34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</row>
    <row r="131" spans="3:106">
      <c r="C131" s="123"/>
      <c r="D131" s="123"/>
      <c r="E131" s="2"/>
      <c r="I131" s="123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  <c r="AW131" s="58"/>
      <c r="AX131" s="58"/>
      <c r="AY131" s="58"/>
      <c r="AZ131" s="58"/>
      <c r="BA131" s="58"/>
      <c r="BB131" s="58"/>
      <c r="BC131" s="58"/>
      <c r="BD131" s="58"/>
      <c r="BE131" s="58"/>
      <c r="BF131" s="58"/>
      <c r="BG131" s="58"/>
      <c r="BH131" s="58"/>
      <c r="BI131" s="58"/>
      <c r="BJ131" s="58"/>
      <c r="BK131" s="58"/>
      <c r="BL131" s="58"/>
      <c r="BM131" s="58"/>
      <c r="BN131" s="58"/>
      <c r="BO131" s="58"/>
      <c r="BP131" s="58"/>
      <c r="BQ131" s="58"/>
      <c r="BR131" s="58"/>
      <c r="BS131" s="58"/>
      <c r="BT131" s="58"/>
      <c r="BU131" s="58"/>
      <c r="BV131" s="34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</row>
    <row r="132" spans="3:106">
      <c r="C132" s="123"/>
      <c r="D132" s="123"/>
      <c r="E132" s="2"/>
      <c r="I132" s="123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  <c r="AW132" s="58"/>
      <c r="AX132" s="58"/>
      <c r="AY132" s="58"/>
      <c r="AZ132" s="58"/>
      <c r="BA132" s="58"/>
      <c r="BB132" s="58"/>
      <c r="BC132" s="58"/>
      <c r="BD132" s="58"/>
      <c r="BE132" s="58"/>
      <c r="BF132" s="58"/>
      <c r="BG132" s="58"/>
      <c r="BH132" s="58"/>
      <c r="BI132" s="58"/>
      <c r="BJ132" s="58"/>
      <c r="BK132" s="58"/>
      <c r="BL132" s="58"/>
      <c r="BM132" s="58"/>
      <c r="BN132" s="58"/>
      <c r="BO132" s="58"/>
      <c r="BP132" s="58"/>
      <c r="BQ132" s="58"/>
      <c r="BR132" s="58"/>
      <c r="BS132" s="58"/>
      <c r="BT132" s="58"/>
      <c r="BU132" s="58"/>
      <c r="BV132" s="34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</row>
    <row r="133" spans="3:106">
      <c r="C133" s="123"/>
      <c r="D133" s="123"/>
      <c r="E133" s="2"/>
      <c r="I133" s="123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  <c r="AW133" s="58"/>
      <c r="AX133" s="58"/>
      <c r="AY133" s="58"/>
      <c r="AZ133" s="58"/>
      <c r="BA133" s="58"/>
      <c r="BB133" s="58"/>
      <c r="BC133" s="58"/>
      <c r="BD133" s="58"/>
      <c r="BE133" s="58"/>
      <c r="BF133" s="58"/>
      <c r="BG133" s="58"/>
      <c r="BH133" s="58"/>
      <c r="BI133" s="58"/>
      <c r="BJ133" s="58"/>
      <c r="BK133" s="58"/>
      <c r="BL133" s="58"/>
      <c r="BM133" s="58"/>
      <c r="BN133" s="58"/>
      <c r="BO133" s="58"/>
      <c r="BP133" s="58"/>
      <c r="BQ133" s="58"/>
      <c r="BR133" s="58"/>
      <c r="BS133" s="58"/>
      <c r="BT133" s="58"/>
      <c r="BU133" s="58"/>
      <c r="BV133" s="34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</row>
    <row r="134" spans="3:106">
      <c r="C134" s="123"/>
      <c r="D134" s="123"/>
      <c r="E134" s="2"/>
      <c r="I134" s="123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  <c r="AW134" s="58"/>
      <c r="AX134" s="58"/>
      <c r="AY134" s="58"/>
      <c r="AZ134" s="58"/>
      <c r="BA134" s="58"/>
      <c r="BB134" s="58"/>
      <c r="BC134" s="58"/>
      <c r="BD134" s="58"/>
      <c r="BE134" s="58"/>
      <c r="BF134" s="58"/>
      <c r="BG134" s="58"/>
      <c r="BH134" s="58"/>
      <c r="BI134" s="58"/>
      <c r="BJ134" s="58"/>
      <c r="BK134" s="58"/>
      <c r="BL134" s="58"/>
      <c r="BM134" s="58"/>
      <c r="BN134" s="58"/>
      <c r="BO134" s="58"/>
      <c r="BP134" s="58"/>
      <c r="BQ134" s="58"/>
      <c r="BR134" s="58"/>
      <c r="BS134" s="58"/>
      <c r="BT134" s="58"/>
      <c r="BU134" s="58"/>
      <c r="BV134" s="34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</row>
    <row r="135" spans="3:106">
      <c r="C135" s="123"/>
      <c r="D135" s="123"/>
      <c r="E135" s="2"/>
      <c r="I135" s="123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  <c r="AW135" s="58"/>
      <c r="AX135" s="58"/>
      <c r="AY135" s="58"/>
      <c r="AZ135" s="58"/>
      <c r="BA135" s="58"/>
      <c r="BB135" s="58"/>
      <c r="BC135" s="58"/>
      <c r="BD135" s="58"/>
      <c r="BE135" s="58"/>
      <c r="BF135" s="58"/>
      <c r="BG135" s="58"/>
      <c r="BH135" s="58"/>
      <c r="BI135" s="58"/>
      <c r="BJ135" s="58"/>
      <c r="BK135" s="58"/>
      <c r="BL135" s="58"/>
      <c r="BM135" s="58"/>
      <c r="BN135" s="58"/>
      <c r="BO135" s="58"/>
      <c r="BP135" s="58"/>
      <c r="BQ135" s="58"/>
      <c r="BR135" s="58"/>
      <c r="BS135" s="58"/>
      <c r="BT135" s="58"/>
      <c r="BU135" s="58"/>
      <c r="BV135" s="34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</row>
    <row r="136" spans="3:106">
      <c r="C136" s="123"/>
      <c r="D136" s="123"/>
      <c r="E136" s="2"/>
      <c r="I136" s="123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  <c r="AW136" s="58"/>
      <c r="AX136" s="58"/>
      <c r="AY136" s="58"/>
      <c r="AZ136" s="58"/>
      <c r="BA136" s="58"/>
      <c r="BB136" s="58"/>
      <c r="BC136" s="58"/>
      <c r="BD136" s="58"/>
      <c r="BE136" s="58"/>
      <c r="BF136" s="58"/>
      <c r="BG136" s="58"/>
      <c r="BH136" s="58"/>
      <c r="BI136" s="58"/>
      <c r="BJ136" s="58"/>
      <c r="BK136" s="58"/>
      <c r="BL136" s="58"/>
      <c r="BM136" s="58"/>
      <c r="BN136" s="58"/>
      <c r="BO136" s="58"/>
      <c r="BP136" s="58"/>
      <c r="BQ136" s="58"/>
      <c r="BR136" s="58"/>
      <c r="BS136" s="58"/>
      <c r="BT136" s="58"/>
      <c r="BU136" s="58"/>
      <c r="BV136" s="34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</row>
    <row r="137" spans="3:106">
      <c r="C137" s="123"/>
      <c r="D137" s="123"/>
      <c r="E137" s="2"/>
      <c r="I137" s="123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  <c r="AW137" s="58"/>
      <c r="AX137" s="58"/>
      <c r="AY137" s="58"/>
      <c r="AZ137" s="58"/>
      <c r="BA137" s="58"/>
      <c r="BB137" s="58"/>
      <c r="BC137" s="58"/>
      <c r="BD137" s="58"/>
      <c r="BE137" s="58"/>
      <c r="BF137" s="58"/>
      <c r="BG137" s="58"/>
      <c r="BH137" s="58"/>
      <c r="BI137" s="58"/>
      <c r="BJ137" s="58"/>
      <c r="BK137" s="58"/>
      <c r="BL137" s="58"/>
      <c r="BM137" s="58"/>
      <c r="BN137" s="58"/>
      <c r="BO137" s="58"/>
      <c r="BP137" s="58"/>
      <c r="BQ137" s="58"/>
      <c r="BR137" s="58"/>
      <c r="BS137" s="58"/>
      <c r="BT137" s="58"/>
      <c r="BU137" s="58"/>
      <c r="BV137" s="34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</row>
    <row r="138" spans="3:106">
      <c r="C138" s="123"/>
      <c r="D138" s="123"/>
      <c r="E138" s="2"/>
      <c r="I138" s="123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  <c r="AW138" s="58"/>
      <c r="AX138" s="58"/>
      <c r="AY138" s="58"/>
      <c r="AZ138" s="58"/>
      <c r="BA138" s="58"/>
      <c r="BB138" s="58"/>
      <c r="BC138" s="58"/>
      <c r="BD138" s="58"/>
      <c r="BE138" s="58"/>
      <c r="BF138" s="58"/>
      <c r="BG138" s="58"/>
      <c r="BH138" s="58"/>
      <c r="BI138" s="58"/>
      <c r="BJ138" s="58"/>
      <c r="BK138" s="58"/>
      <c r="BL138" s="58"/>
      <c r="BM138" s="58"/>
      <c r="BN138" s="58"/>
      <c r="BO138" s="58"/>
      <c r="BP138" s="58"/>
      <c r="BQ138" s="58"/>
      <c r="BR138" s="58"/>
      <c r="BS138" s="58"/>
      <c r="BT138" s="58"/>
      <c r="BU138" s="58"/>
      <c r="BV138" s="34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</row>
    <row r="139" spans="3:106">
      <c r="C139" s="123"/>
      <c r="D139" s="123"/>
      <c r="E139" s="2"/>
      <c r="I139" s="123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  <c r="AW139" s="58"/>
      <c r="AX139" s="58"/>
      <c r="AY139" s="58"/>
      <c r="AZ139" s="58"/>
      <c r="BA139" s="58"/>
      <c r="BB139" s="58"/>
      <c r="BC139" s="58"/>
      <c r="BD139" s="58"/>
      <c r="BE139" s="58"/>
      <c r="BF139" s="58"/>
      <c r="BG139" s="58"/>
      <c r="BH139" s="58"/>
      <c r="BI139" s="58"/>
      <c r="BJ139" s="58"/>
      <c r="BK139" s="58"/>
      <c r="BL139" s="58"/>
      <c r="BM139" s="58"/>
      <c r="BN139" s="58"/>
      <c r="BO139" s="58"/>
      <c r="BP139" s="58"/>
      <c r="BQ139" s="58"/>
      <c r="BR139" s="58"/>
      <c r="BS139" s="58"/>
      <c r="BT139" s="58"/>
      <c r="BU139" s="58"/>
      <c r="BV139" s="34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</row>
    <row r="140" spans="3:106">
      <c r="C140" s="123"/>
      <c r="D140" s="123"/>
      <c r="E140" s="2"/>
      <c r="I140" s="123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  <c r="AW140" s="58"/>
      <c r="AX140" s="58"/>
      <c r="AY140" s="58"/>
      <c r="AZ140" s="58"/>
      <c r="BA140" s="58"/>
      <c r="BB140" s="58"/>
      <c r="BC140" s="58"/>
      <c r="BD140" s="58"/>
      <c r="BE140" s="58"/>
      <c r="BF140" s="58"/>
      <c r="BG140" s="58"/>
      <c r="BH140" s="58"/>
      <c r="BI140" s="58"/>
      <c r="BJ140" s="58"/>
      <c r="BK140" s="58"/>
      <c r="BL140" s="58"/>
      <c r="BM140" s="58"/>
      <c r="BN140" s="58"/>
      <c r="BO140" s="58"/>
      <c r="BP140" s="58"/>
      <c r="BQ140" s="58"/>
      <c r="BR140" s="58"/>
      <c r="BS140" s="58"/>
      <c r="BT140" s="58"/>
      <c r="BU140" s="58"/>
      <c r="BV140" s="34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</row>
    <row r="141" spans="3:106">
      <c r="C141" s="123"/>
      <c r="D141" s="123"/>
      <c r="E141" s="2"/>
      <c r="I141" s="123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  <c r="AW141" s="58"/>
      <c r="AX141" s="58"/>
      <c r="AY141" s="58"/>
      <c r="AZ141" s="58"/>
      <c r="BA141" s="58"/>
      <c r="BB141" s="58"/>
      <c r="BC141" s="58"/>
      <c r="BD141" s="58"/>
      <c r="BE141" s="58"/>
      <c r="BF141" s="58"/>
      <c r="BG141" s="58"/>
      <c r="BH141" s="58"/>
      <c r="BI141" s="58"/>
      <c r="BJ141" s="58"/>
      <c r="BK141" s="58"/>
      <c r="BL141" s="58"/>
      <c r="BM141" s="58"/>
      <c r="BN141" s="58"/>
      <c r="BO141" s="58"/>
      <c r="BP141" s="58"/>
      <c r="BQ141" s="58"/>
      <c r="BR141" s="58"/>
      <c r="BS141" s="58"/>
      <c r="BT141" s="58"/>
      <c r="BU141" s="58"/>
      <c r="BV141" s="34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</row>
    <row r="142" spans="3:106">
      <c r="C142" s="123"/>
      <c r="D142" s="123"/>
      <c r="E142" s="2"/>
      <c r="I142" s="123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  <c r="AW142" s="58"/>
      <c r="AX142" s="58"/>
      <c r="AY142" s="58"/>
      <c r="AZ142" s="58"/>
      <c r="BA142" s="58"/>
      <c r="BB142" s="58"/>
      <c r="BC142" s="58"/>
      <c r="BD142" s="58"/>
      <c r="BE142" s="58"/>
      <c r="BF142" s="58"/>
      <c r="BG142" s="58"/>
      <c r="BH142" s="58"/>
      <c r="BI142" s="58"/>
      <c r="BJ142" s="58"/>
      <c r="BK142" s="58"/>
      <c r="BL142" s="58"/>
      <c r="BM142" s="58"/>
      <c r="BN142" s="58"/>
      <c r="BO142" s="58"/>
      <c r="BP142" s="58"/>
      <c r="BQ142" s="58"/>
      <c r="BR142" s="58"/>
      <c r="BS142" s="58"/>
      <c r="BT142" s="58"/>
      <c r="BU142" s="58"/>
      <c r="BV142" s="34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</row>
    <row r="143" spans="3:106">
      <c r="C143" s="123"/>
      <c r="D143" s="123"/>
      <c r="E143" s="2"/>
      <c r="I143" s="123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  <c r="AW143" s="58"/>
      <c r="AX143" s="58"/>
      <c r="AY143" s="58"/>
      <c r="AZ143" s="58"/>
      <c r="BA143" s="58"/>
      <c r="BB143" s="58"/>
      <c r="BC143" s="58"/>
      <c r="BD143" s="58"/>
      <c r="BE143" s="58"/>
      <c r="BF143" s="58"/>
      <c r="BG143" s="58"/>
      <c r="BH143" s="58"/>
      <c r="BI143" s="58"/>
      <c r="BJ143" s="58"/>
      <c r="BK143" s="58"/>
      <c r="BL143" s="58"/>
      <c r="BM143" s="58"/>
      <c r="BN143" s="58"/>
      <c r="BO143" s="58"/>
      <c r="BP143" s="58"/>
      <c r="BQ143" s="58"/>
      <c r="BR143" s="58"/>
      <c r="BS143" s="58"/>
      <c r="BT143" s="58"/>
      <c r="BU143" s="58"/>
      <c r="BV143" s="34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</row>
    <row r="144" spans="3:106">
      <c r="C144" s="123"/>
      <c r="D144" s="123"/>
      <c r="E144" s="2"/>
      <c r="I144" s="123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  <c r="AW144" s="58"/>
      <c r="AX144" s="58"/>
      <c r="AY144" s="58"/>
      <c r="AZ144" s="58"/>
      <c r="BA144" s="58"/>
      <c r="BB144" s="58"/>
      <c r="BC144" s="58"/>
      <c r="BD144" s="58"/>
      <c r="BE144" s="58"/>
      <c r="BF144" s="58"/>
      <c r="BG144" s="58"/>
      <c r="BH144" s="58"/>
      <c r="BI144" s="58"/>
      <c r="BJ144" s="58"/>
      <c r="BK144" s="58"/>
      <c r="BL144" s="58"/>
      <c r="BM144" s="58"/>
      <c r="BN144" s="58"/>
      <c r="BO144" s="58"/>
      <c r="BP144" s="58"/>
      <c r="BQ144" s="58"/>
      <c r="BR144" s="58"/>
      <c r="BS144" s="58"/>
      <c r="BT144" s="58"/>
      <c r="BU144" s="58"/>
      <c r="BV144" s="34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</row>
    <row r="145" spans="3:106">
      <c r="C145" s="123"/>
      <c r="D145" s="123"/>
      <c r="E145" s="2"/>
      <c r="I145" s="123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  <c r="AW145" s="58"/>
      <c r="AX145" s="58"/>
      <c r="AY145" s="58"/>
      <c r="AZ145" s="58"/>
      <c r="BA145" s="58"/>
      <c r="BB145" s="58"/>
      <c r="BC145" s="58"/>
      <c r="BD145" s="58"/>
      <c r="BE145" s="58"/>
      <c r="BF145" s="58"/>
      <c r="BG145" s="58"/>
      <c r="BH145" s="58"/>
      <c r="BI145" s="58"/>
      <c r="BJ145" s="58"/>
      <c r="BK145" s="58"/>
      <c r="BL145" s="58"/>
      <c r="BM145" s="58"/>
      <c r="BN145" s="58"/>
      <c r="BO145" s="58"/>
      <c r="BP145" s="58"/>
      <c r="BQ145" s="58"/>
      <c r="BR145" s="58"/>
      <c r="BS145" s="58"/>
      <c r="BT145" s="58"/>
      <c r="BU145" s="58"/>
      <c r="BV145" s="34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</row>
    <row r="146" spans="3:106">
      <c r="C146" s="123"/>
      <c r="D146" s="123"/>
      <c r="E146" s="2"/>
      <c r="I146" s="123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  <c r="AW146" s="58"/>
      <c r="AX146" s="58"/>
      <c r="AY146" s="58"/>
      <c r="AZ146" s="58"/>
      <c r="BA146" s="58"/>
      <c r="BB146" s="58"/>
      <c r="BC146" s="58"/>
      <c r="BD146" s="58"/>
      <c r="BE146" s="58"/>
      <c r="BF146" s="58"/>
      <c r="BG146" s="58"/>
      <c r="BH146" s="58"/>
      <c r="BI146" s="58"/>
      <c r="BJ146" s="58"/>
      <c r="BK146" s="58"/>
      <c r="BL146" s="58"/>
      <c r="BM146" s="58"/>
      <c r="BN146" s="58"/>
      <c r="BO146" s="58"/>
      <c r="BP146" s="58"/>
      <c r="BQ146" s="58"/>
      <c r="BR146" s="58"/>
      <c r="BS146" s="58"/>
      <c r="BT146" s="58"/>
      <c r="BU146" s="58"/>
      <c r="BV146" s="34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</row>
    <row r="147" spans="3:106">
      <c r="C147" s="123"/>
      <c r="D147" s="123"/>
      <c r="E147" s="2"/>
      <c r="I147" s="123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  <c r="AW147" s="58"/>
      <c r="AX147" s="58"/>
      <c r="AY147" s="58"/>
      <c r="AZ147" s="58"/>
      <c r="BA147" s="58"/>
      <c r="BB147" s="58"/>
      <c r="BC147" s="58"/>
      <c r="BD147" s="58"/>
      <c r="BE147" s="58"/>
      <c r="BF147" s="58"/>
      <c r="BG147" s="58"/>
      <c r="BH147" s="58"/>
      <c r="BI147" s="58"/>
      <c r="BJ147" s="58"/>
      <c r="BK147" s="58"/>
      <c r="BL147" s="58"/>
      <c r="BM147" s="58"/>
      <c r="BN147" s="58"/>
      <c r="BO147" s="58"/>
      <c r="BP147" s="58"/>
      <c r="BQ147" s="58"/>
      <c r="BR147" s="58"/>
      <c r="BS147" s="58"/>
      <c r="BT147" s="58"/>
      <c r="BU147" s="58"/>
      <c r="BV147" s="34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</row>
    <row r="148" spans="3:106">
      <c r="C148" s="123"/>
      <c r="D148" s="123"/>
      <c r="E148" s="2"/>
      <c r="I148" s="123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  <c r="AW148" s="58"/>
      <c r="AX148" s="58"/>
      <c r="AY148" s="58"/>
      <c r="AZ148" s="58"/>
      <c r="BA148" s="58"/>
      <c r="BB148" s="58"/>
      <c r="BC148" s="58"/>
      <c r="BD148" s="58"/>
      <c r="BE148" s="58"/>
      <c r="BF148" s="58"/>
      <c r="BG148" s="58"/>
      <c r="BH148" s="58"/>
      <c r="BI148" s="58"/>
      <c r="BJ148" s="58"/>
      <c r="BK148" s="58"/>
      <c r="BL148" s="58"/>
      <c r="BM148" s="58"/>
      <c r="BN148" s="58"/>
      <c r="BO148" s="58"/>
      <c r="BP148" s="58"/>
      <c r="BQ148" s="58"/>
      <c r="BR148" s="58"/>
      <c r="BS148" s="58"/>
      <c r="BT148" s="58"/>
      <c r="BU148" s="58"/>
      <c r="BV148" s="34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</row>
    <row r="149" spans="3:106">
      <c r="C149" s="123"/>
      <c r="D149" s="123"/>
      <c r="E149" s="2"/>
      <c r="I149" s="123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  <c r="AW149" s="58"/>
      <c r="AX149" s="58"/>
      <c r="AY149" s="58"/>
      <c r="AZ149" s="58"/>
      <c r="BA149" s="58"/>
      <c r="BB149" s="58"/>
      <c r="BC149" s="58"/>
      <c r="BD149" s="58"/>
      <c r="BE149" s="58"/>
      <c r="BF149" s="58"/>
      <c r="BG149" s="58"/>
      <c r="BH149" s="58"/>
      <c r="BI149" s="58"/>
      <c r="BJ149" s="58"/>
      <c r="BK149" s="58"/>
      <c r="BL149" s="58"/>
      <c r="BM149" s="58"/>
      <c r="BN149" s="58"/>
      <c r="BO149" s="58"/>
      <c r="BP149" s="58"/>
      <c r="BQ149" s="58"/>
      <c r="BR149" s="58"/>
      <c r="BS149" s="58"/>
      <c r="BT149" s="58"/>
      <c r="BU149" s="58"/>
      <c r="BV149" s="34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</row>
    <row r="150" spans="3:106">
      <c r="C150" s="123"/>
      <c r="D150" s="123"/>
      <c r="E150" s="2"/>
      <c r="I150" s="123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  <c r="AW150" s="58"/>
      <c r="AX150" s="58"/>
      <c r="AY150" s="58"/>
      <c r="AZ150" s="58"/>
      <c r="BA150" s="58"/>
      <c r="BB150" s="58"/>
      <c r="BC150" s="58"/>
      <c r="BD150" s="58"/>
      <c r="BE150" s="58"/>
      <c r="BF150" s="58"/>
      <c r="BG150" s="58"/>
      <c r="BH150" s="58"/>
      <c r="BI150" s="58"/>
      <c r="BJ150" s="58"/>
      <c r="BK150" s="58"/>
      <c r="BL150" s="58"/>
      <c r="BM150" s="58"/>
      <c r="BN150" s="58"/>
      <c r="BO150" s="58"/>
      <c r="BP150" s="58"/>
      <c r="BQ150" s="58"/>
      <c r="BR150" s="58"/>
      <c r="BS150" s="58"/>
      <c r="BT150" s="58"/>
      <c r="BU150" s="58"/>
      <c r="BV150" s="34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</row>
    <row r="151" spans="3:106">
      <c r="C151" s="123"/>
      <c r="D151" s="123"/>
      <c r="E151" s="2"/>
      <c r="I151" s="123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  <c r="AW151" s="58"/>
      <c r="AX151" s="58"/>
      <c r="AY151" s="58"/>
      <c r="AZ151" s="58"/>
      <c r="BA151" s="58"/>
      <c r="BB151" s="58"/>
      <c r="BC151" s="58"/>
      <c r="BD151" s="58"/>
      <c r="BE151" s="58"/>
      <c r="BF151" s="58"/>
      <c r="BG151" s="58"/>
      <c r="BH151" s="58"/>
      <c r="BI151" s="58"/>
      <c r="BJ151" s="58"/>
      <c r="BK151" s="58"/>
      <c r="BL151" s="58"/>
      <c r="BM151" s="58"/>
      <c r="BN151" s="58"/>
      <c r="BO151" s="58"/>
      <c r="BP151" s="58"/>
      <c r="BQ151" s="58"/>
      <c r="BR151" s="58"/>
      <c r="BS151" s="58"/>
      <c r="BT151" s="58"/>
      <c r="BU151" s="58"/>
      <c r="BV151" s="34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</row>
    <row r="152" spans="3:106">
      <c r="C152" s="123"/>
      <c r="D152" s="123"/>
      <c r="E152" s="2"/>
      <c r="I152" s="123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58"/>
      <c r="AW152" s="58"/>
      <c r="AX152" s="58"/>
      <c r="AY152" s="58"/>
      <c r="AZ152" s="58"/>
      <c r="BA152" s="58"/>
      <c r="BB152" s="58"/>
      <c r="BC152" s="58"/>
      <c r="BD152" s="58"/>
      <c r="BE152" s="58"/>
      <c r="BF152" s="58"/>
      <c r="BG152" s="58"/>
      <c r="BH152" s="58"/>
      <c r="BI152" s="58"/>
      <c r="BJ152" s="58"/>
      <c r="BK152" s="58"/>
      <c r="BL152" s="58"/>
      <c r="BM152" s="58"/>
      <c r="BN152" s="58"/>
      <c r="BO152" s="58"/>
      <c r="BP152" s="58"/>
      <c r="BQ152" s="58"/>
      <c r="BR152" s="58"/>
      <c r="BS152" s="58"/>
      <c r="BT152" s="58"/>
      <c r="BU152" s="58"/>
      <c r="BV152" s="34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</row>
    <row r="153" spans="3:106">
      <c r="C153" s="123"/>
      <c r="D153" s="123"/>
      <c r="E153" s="2"/>
      <c r="I153" s="123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  <c r="AW153" s="58"/>
      <c r="AX153" s="58"/>
      <c r="AY153" s="58"/>
      <c r="AZ153" s="58"/>
      <c r="BA153" s="58"/>
      <c r="BB153" s="58"/>
      <c r="BC153" s="58"/>
      <c r="BD153" s="58"/>
      <c r="BE153" s="58"/>
      <c r="BF153" s="58"/>
      <c r="BG153" s="58"/>
      <c r="BH153" s="58"/>
      <c r="BI153" s="58"/>
      <c r="BJ153" s="58"/>
      <c r="BK153" s="58"/>
      <c r="BL153" s="58"/>
      <c r="BM153" s="58"/>
      <c r="BN153" s="58"/>
      <c r="BO153" s="58"/>
      <c r="BP153" s="58"/>
      <c r="BQ153" s="58"/>
      <c r="BR153" s="58"/>
      <c r="BS153" s="58"/>
      <c r="BT153" s="58"/>
      <c r="BU153" s="58"/>
      <c r="BV153" s="34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</row>
    <row r="154" spans="3:106">
      <c r="C154" s="123"/>
      <c r="D154" s="123"/>
      <c r="E154" s="2"/>
      <c r="I154" s="123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58"/>
      <c r="AW154" s="58"/>
      <c r="AX154" s="58"/>
      <c r="AY154" s="58"/>
      <c r="AZ154" s="58"/>
      <c r="BA154" s="58"/>
      <c r="BB154" s="58"/>
      <c r="BC154" s="58"/>
      <c r="BD154" s="58"/>
      <c r="BE154" s="58"/>
      <c r="BF154" s="58"/>
      <c r="BG154" s="58"/>
      <c r="BH154" s="58"/>
      <c r="BI154" s="58"/>
      <c r="BJ154" s="58"/>
      <c r="BK154" s="58"/>
      <c r="BL154" s="58"/>
      <c r="BM154" s="58"/>
      <c r="BN154" s="58"/>
      <c r="BO154" s="58"/>
      <c r="BP154" s="58"/>
      <c r="BQ154" s="58"/>
      <c r="BR154" s="58"/>
      <c r="BS154" s="58"/>
      <c r="BT154" s="58"/>
      <c r="BU154" s="58"/>
      <c r="BV154" s="34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</row>
    <row r="155" spans="3:106">
      <c r="C155" s="123"/>
      <c r="D155" s="123"/>
      <c r="E155" s="2"/>
      <c r="I155" s="123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58"/>
      <c r="AW155" s="58"/>
      <c r="AX155" s="58"/>
      <c r="AY155" s="58"/>
      <c r="AZ155" s="58"/>
      <c r="BA155" s="58"/>
      <c r="BB155" s="58"/>
      <c r="BC155" s="58"/>
      <c r="BD155" s="58"/>
      <c r="BE155" s="58"/>
      <c r="BF155" s="58"/>
      <c r="BG155" s="58"/>
      <c r="BH155" s="58"/>
      <c r="BI155" s="58"/>
      <c r="BJ155" s="58"/>
      <c r="BK155" s="58"/>
      <c r="BL155" s="58"/>
      <c r="BM155" s="58"/>
      <c r="BN155" s="58"/>
      <c r="BO155" s="58"/>
      <c r="BP155" s="58"/>
      <c r="BQ155" s="58"/>
      <c r="BR155" s="58"/>
      <c r="BS155" s="58"/>
      <c r="BT155" s="58"/>
      <c r="BU155" s="58"/>
      <c r="BV155" s="34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</row>
    <row r="156" spans="3:106">
      <c r="C156" s="123"/>
      <c r="D156" s="123"/>
      <c r="E156" s="2"/>
      <c r="I156" s="123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  <c r="AW156" s="58"/>
      <c r="AX156" s="58"/>
      <c r="AY156" s="58"/>
      <c r="AZ156" s="58"/>
      <c r="BA156" s="58"/>
      <c r="BB156" s="58"/>
      <c r="BC156" s="58"/>
      <c r="BD156" s="58"/>
      <c r="BE156" s="58"/>
      <c r="BF156" s="58"/>
      <c r="BG156" s="58"/>
      <c r="BH156" s="58"/>
      <c r="BI156" s="58"/>
      <c r="BJ156" s="58"/>
      <c r="BK156" s="58"/>
      <c r="BL156" s="58"/>
      <c r="BM156" s="58"/>
      <c r="BN156" s="58"/>
      <c r="BO156" s="58"/>
      <c r="BP156" s="58"/>
      <c r="BQ156" s="58"/>
      <c r="BR156" s="58"/>
      <c r="BS156" s="58"/>
      <c r="BT156" s="58"/>
      <c r="BU156" s="58"/>
      <c r="BV156" s="34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</row>
    <row r="157" spans="3:106">
      <c r="C157" s="123"/>
      <c r="D157" s="123"/>
      <c r="E157" s="2"/>
      <c r="I157" s="123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  <c r="AY157" s="58"/>
      <c r="AZ157" s="58"/>
      <c r="BA157" s="58"/>
      <c r="BB157" s="58"/>
      <c r="BC157" s="58"/>
      <c r="BD157" s="58"/>
      <c r="BE157" s="58"/>
      <c r="BF157" s="58"/>
      <c r="BG157" s="58"/>
      <c r="BH157" s="58"/>
      <c r="BI157" s="58"/>
      <c r="BJ157" s="58"/>
      <c r="BK157" s="58"/>
      <c r="BL157" s="58"/>
      <c r="BM157" s="58"/>
      <c r="BN157" s="58"/>
      <c r="BO157" s="58"/>
      <c r="BP157" s="58"/>
      <c r="BQ157" s="58"/>
      <c r="BR157" s="58"/>
      <c r="BS157" s="58"/>
      <c r="BT157" s="58"/>
      <c r="BU157" s="58"/>
      <c r="BV157" s="34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</row>
    <row r="158" spans="3:106">
      <c r="C158" s="123"/>
      <c r="D158" s="123"/>
      <c r="E158" s="2"/>
      <c r="I158" s="123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58"/>
      <c r="AW158" s="58"/>
      <c r="AX158" s="58"/>
      <c r="AY158" s="58"/>
      <c r="AZ158" s="58"/>
      <c r="BA158" s="58"/>
      <c r="BB158" s="58"/>
      <c r="BC158" s="58"/>
      <c r="BD158" s="58"/>
      <c r="BE158" s="58"/>
      <c r="BF158" s="58"/>
      <c r="BG158" s="58"/>
      <c r="BH158" s="58"/>
      <c r="BI158" s="58"/>
      <c r="BJ158" s="58"/>
      <c r="BK158" s="58"/>
      <c r="BL158" s="58"/>
      <c r="BM158" s="58"/>
      <c r="BN158" s="58"/>
      <c r="BO158" s="58"/>
      <c r="BP158" s="58"/>
      <c r="BQ158" s="58"/>
      <c r="BR158" s="58"/>
      <c r="BS158" s="58"/>
      <c r="BT158" s="58"/>
      <c r="BU158" s="58"/>
      <c r="BV158" s="34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</row>
    <row r="159" spans="3:106">
      <c r="C159" s="123"/>
      <c r="D159" s="123"/>
      <c r="E159" s="2"/>
      <c r="I159" s="123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58"/>
      <c r="AW159" s="58"/>
      <c r="AX159" s="58"/>
      <c r="AY159" s="58"/>
      <c r="AZ159" s="58"/>
      <c r="BA159" s="58"/>
      <c r="BB159" s="58"/>
      <c r="BC159" s="58"/>
      <c r="BD159" s="58"/>
      <c r="BE159" s="58"/>
      <c r="BF159" s="58"/>
      <c r="BG159" s="58"/>
      <c r="BH159" s="58"/>
      <c r="BI159" s="58"/>
      <c r="BJ159" s="58"/>
      <c r="BK159" s="58"/>
      <c r="BL159" s="58"/>
      <c r="BM159" s="58"/>
      <c r="BN159" s="58"/>
      <c r="BO159" s="58"/>
      <c r="BP159" s="58"/>
      <c r="BQ159" s="58"/>
      <c r="BR159" s="58"/>
      <c r="BS159" s="58"/>
      <c r="BT159" s="58"/>
      <c r="BU159" s="58"/>
      <c r="BV159" s="34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</row>
    <row r="160" spans="3:106">
      <c r="C160" s="123"/>
      <c r="D160" s="123"/>
      <c r="E160" s="2"/>
      <c r="I160" s="123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  <c r="AW160" s="58"/>
      <c r="AX160" s="58"/>
      <c r="AY160" s="58"/>
      <c r="AZ160" s="58"/>
      <c r="BA160" s="58"/>
      <c r="BB160" s="58"/>
      <c r="BC160" s="58"/>
      <c r="BD160" s="58"/>
      <c r="BE160" s="58"/>
      <c r="BF160" s="58"/>
      <c r="BG160" s="58"/>
      <c r="BH160" s="58"/>
      <c r="BI160" s="58"/>
      <c r="BJ160" s="58"/>
      <c r="BK160" s="58"/>
      <c r="BL160" s="58"/>
      <c r="BM160" s="58"/>
      <c r="BN160" s="58"/>
      <c r="BO160" s="58"/>
      <c r="BP160" s="58"/>
      <c r="BQ160" s="58"/>
      <c r="BR160" s="58"/>
      <c r="BS160" s="58"/>
      <c r="BT160" s="58"/>
      <c r="BU160" s="58"/>
      <c r="BV160" s="34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</row>
    <row r="161" spans="3:106">
      <c r="C161" s="123"/>
      <c r="D161" s="123"/>
      <c r="E161" s="2"/>
      <c r="I161" s="123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  <c r="AW161" s="58"/>
      <c r="AX161" s="58"/>
      <c r="AY161" s="58"/>
      <c r="AZ161" s="58"/>
      <c r="BA161" s="58"/>
      <c r="BB161" s="58"/>
      <c r="BC161" s="58"/>
      <c r="BD161" s="58"/>
      <c r="BE161" s="58"/>
      <c r="BF161" s="58"/>
      <c r="BG161" s="58"/>
      <c r="BH161" s="58"/>
      <c r="BI161" s="58"/>
      <c r="BJ161" s="58"/>
      <c r="BK161" s="58"/>
      <c r="BL161" s="58"/>
      <c r="BM161" s="58"/>
      <c r="BN161" s="58"/>
      <c r="BO161" s="58"/>
      <c r="BP161" s="58"/>
      <c r="BQ161" s="58"/>
      <c r="BR161" s="58"/>
      <c r="BS161" s="58"/>
      <c r="BT161" s="58"/>
      <c r="BU161" s="58"/>
      <c r="BV161" s="34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</row>
    <row r="162" spans="3:106">
      <c r="C162" s="123"/>
      <c r="D162" s="123"/>
      <c r="E162" s="2"/>
      <c r="I162" s="123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58"/>
      <c r="AW162" s="58"/>
      <c r="AX162" s="58"/>
      <c r="AY162" s="58"/>
      <c r="AZ162" s="58"/>
      <c r="BA162" s="58"/>
      <c r="BB162" s="58"/>
      <c r="BC162" s="58"/>
      <c r="BD162" s="58"/>
      <c r="BE162" s="58"/>
      <c r="BF162" s="58"/>
      <c r="BG162" s="58"/>
      <c r="BH162" s="58"/>
      <c r="BI162" s="58"/>
      <c r="BJ162" s="58"/>
      <c r="BK162" s="58"/>
      <c r="BL162" s="58"/>
      <c r="BM162" s="58"/>
      <c r="BN162" s="58"/>
      <c r="BO162" s="58"/>
      <c r="BP162" s="58"/>
      <c r="BQ162" s="58"/>
      <c r="BR162" s="58"/>
      <c r="BS162" s="58"/>
      <c r="BT162" s="58"/>
      <c r="BU162" s="58"/>
      <c r="BV162" s="34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</row>
    <row r="163" spans="3:106">
      <c r="C163" s="123"/>
      <c r="D163" s="123"/>
      <c r="E163" s="2"/>
      <c r="I163" s="123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58"/>
      <c r="AW163" s="58"/>
      <c r="AX163" s="58"/>
      <c r="AY163" s="58"/>
      <c r="AZ163" s="58"/>
      <c r="BA163" s="58"/>
      <c r="BB163" s="58"/>
      <c r="BC163" s="58"/>
      <c r="BD163" s="58"/>
      <c r="BE163" s="58"/>
      <c r="BF163" s="58"/>
      <c r="BG163" s="58"/>
      <c r="BH163" s="58"/>
      <c r="BI163" s="58"/>
      <c r="BJ163" s="58"/>
      <c r="BK163" s="58"/>
      <c r="BL163" s="58"/>
      <c r="BM163" s="58"/>
      <c r="BN163" s="58"/>
      <c r="BO163" s="58"/>
      <c r="BP163" s="58"/>
      <c r="BQ163" s="58"/>
      <c r="BR163" s="58"/>
      <c r="BS163" s="58"/>
      <c r="BT163" s="58"/>
      <c r="BU163" s="58"/>
      <c r="BV163" s="34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</row>
    <row r="164" spans="3:106">
      <c r="C164" s="123"/>
      <c r="D164" s="123"/>
      <c r="E164" s="2"/>
      <c r="I164" s="123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  <c r="AW164" s="58"/>
      <c r="AX164" s="58"/>
      <c r="AY164" s="58"/>
      <c r="AZ164" s="58"/>
      <c r="BA164" s="58"/>
      <c r="BB164" s="58"/>
      <c r="BC164" s="58"/>
      <c r="BD164" s="58"/>
      <c r="BE164" s="58"/>
      <c r="BF164" s="58"/>
      <c r="BG164" s="58"/>
      <c r="BH164" s="58"/>
      <c r="BI164" s="58"/>
      <c r="BJ164" s="58"/>
      <c r="BK164" s="58"/>
      <c r="BL164" s="58"/>
      <c r="BM164" s="58"/>
      <c r="BN164" s="58"/>
      <c r="BO164" s="58"/>
      <c r="BP164" s="58"/>
      <c r="BQ164" s="58"/>
      <c r="BR164" s="58"/>
      <c r="BS164" s="58"/>
      <c r="BT164" s="58"/>
      <c r="BU164" s="58"/>
      <c r="BV164" s="34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</row>
    <row r="165" spans="3:106">
      <c r="C165" s="123"/>
      <c r="D165" s="123"/>
      <c r="E165" s="2"/>
      <c r="I165" s="123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58"/>
      <c r="AW165" s="58"/>
      <c r="AX165" s="58"/>
      <c r="AY165" s="58"/>
      <c r="AZ165" s="58"/>
      <c r="BA165" s="58"/>
      <c r="BB165" s="58"/>
      <c r="BC165" s="58"/>
      <c r="BD165" s="58"/>
      <c r="BE165" s="58"/>
      <c r="BF165" s="58"/>
      <c r="BG165" s="58"/>
      <c r="BH165" s="58"/>
      <c r="BI165" s="58"/>
      <c r="BJ165" s="58"/>
      <c r="BK165" s="58"/>
      <c r="BL165" s="58"/>
      <c r="BM165" s="58"/>
      <c r="BN165" s="58"/>
      <c r="BO165" s="58"/>
      <c r="BP165" s="58"/>
      <c r="BQ165" s="58"/>
      <c r="BR165" s="58"/>
      <c r="BS165" s="58"/>
      <c r="BT165" s="58"/>
      <c r="BU165" s="58"/>
      <c r="BV165" s="34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</row>
    <row r="166" spans="3:106">
      <c r="C166" s="123"/>
      <c r="D166" s="123"/>
      <c r="E166" s="2"/>
      <c r="I166" s="123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  <c r="AW166" s="58"/>
      <c r="AX166" s="58"/>
      <c r="AY166" s="58"/>
      <c r="AZ166" s="58"/>
      <c r="BA166" s="58"/>
      <c r="BB166" s="58"/>
      <c r="BC166" s="58"/>
      <c r="BD166" s="58"/>
      <c r="BE166" s="58"/>
      <c r="BF166" s="58"/>
      <c r="BG166" s="58"/>
      <c r="BH166" s="58"/>
      <c r="BI166" s="58"/>
      <c r="BJ166" s="58"/>
      <c r="BK166" s="58"/>
      <c r="BL166" s="58"/>
      <c r="BM166" s="58"/>
      <c r="BN166" s="58"/>
      <c r="BO166" s="58"/>
      <c r="BP166" s="58"/>
      <c r="BQ166" s="58"/>
      <c r="BR166" s="58"/>
      <c r="BS166" s="58"/>
      <c r="BT166" s="58"/>
      <c r="BU166" s="58"/>
      <c r="BV166" s="34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</row>
    <row r="167" spans="3:106">
      <c r="C167" s="123"/>
      <c r="D167" s="123"/>
      <c r="E167" s="2"/>
      <c r="I167" s="123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  <c r="AW167" s="58"/>
      <c r="AX167" s="58"/>
      <c r="AY167" s="58"/>
      <c r="AZ167" s="58"/>
      <c r="BA167" s="58"/>
      <c r="BB167" s="58"/>
      <c r="BC167" s="58"/>
      <c r="BD167" s="58"/>
      <c r="BE167" s="58"/>
      <c r="BF167" s="58"/>
      <c r="BG167" s="58"/>
      <c r="BH167" s="58"/>
      <c r="BI167" s="58"/>
      <c r="BJ167" s="58"/>
      <c r="BK167" s="58"/>
      <c r="BL167" s="58"/>
      <c r="BM167" s="58"/>
      <c r="BN167" s="58"/>
      <c r="BO167" s="58"/>
      <c r="BP167" s="58"/>
      <c r="BQ167" s="58"/>
      <c r="BR167" s="58"/>
      <c r="BS167" s="58"/>
      <c r="BT167" s="58"/>
      <c r="BU167" s="58"/>
      <c r="BV167" s="34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</row>
    <row r="168" spans="3:106">
      <c r="C168" s="123"/>
      <c r="D168" s="123"/>
      <c r="E168" s="2"/>
      <c r="I168" s="123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8"/>
      <c r="BA168" s="58"/>
      <c r="BB168" s="58"/>
      <c r="BC168" s="58"/>
      <c r="BD168" s="58"/>
      <c r="BE168" s="58"/>
      <c r="BF168" s="58"/>
      <c r="BG168" s="58"/>
      <c r="BH168" s="58"/>
      <c r="BI168" s="58"/>
      <c r="BJ168" s="58"/>
      <c r="BK168" s="58"/>
      <c r="BL168" s="58"/>
      <c r="BM168" s="58"/>
      <c r="BN168" s="58"/>
      <c r="BO168" s="58"/>
      <c r="BP168" s="58"/>
      <c r="BQ168" s="58"/>
      <c r="BR168" s="58"/>
      <c r="BS168" s="58"/>
      <c r="BT168" s="58"/>
      <c r="BU168" s="58"/>
      <c r="BV168" s="34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</row>
    <row r="169" spans="3:106">
      <c r="C169" s="123"/>
      <c r="D169" s="123"/>
      <c r="E169" s="2"/>
      <c r="I169" s="123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  <c r="AW169" s="58"/>
      <c r="AX169" s="58"/>
      <c r="AY169" s="58"/>
      <c r="AZ169" s="58"/>
      <c r="BA169" s="58"/>
      <c r="BB169" s="58"/>
      <c r="BC169" s="58"/>
      <c r="BD169" s="58"/>
      <c r="BE169" s="58"/>
      <c r="BF169" s="58"/>
      <c r="BG169" s="58"/>
      <c r="BH169" s="58"/>
      <c r="BI169" s="58"/>
      <c r="BJ169" s="58"/>
      <c r="BK169" s="58"/>
      <c r="BL169" s="58"/>
      <c r="BM169" s="58"/>
      <c r="BN169" s="58"/>
      <c r="BO169" s="58"/>
      <c r="BP169" s="58"/>
      <c r="BQ169" s="58"/>
      <c r="BR169" s="58"/>
      <c r="BS169" s="58"/>
      <c r="BT169" s="58"/>
      <c r="BU169" s="58"/>
      <c r="BV169" s="34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</row>
    <row r="170" spans="3:106">
      <c r="C170" s="123"/>
      <c r="D170" s="123"/>
      <c r="E170" s="2"/>
      <c r="I170" s="123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  <c r="AW170" s="58"/>
      <c r="AX170" s="58"/>
      <c r="AY170" s="58"/>
      <c r="AZ170" s="58"/>
      <c r="BA170" s="58"/>
      <c r="BB170" s="58"/>
      <c r="BC170" s="58"/>
      <c r="BD170" s="58"/>
      <c r="BE170" s="58"/>
      <c r="BF170" s="58"/>
      <c r="BG170" s="58"/>
      <c r="BH170" s="58"/>
      <c r="BI170" s="58"/>
      <c r="BJ170" s="58"/>
      <c r="BK170" s="58"/>
      <c r="BL170" s="58"/>
      <c r="BM170" s="58"/>
      <c r="BN170" s="58"/>
      <c r="BO170" s="58"/>
      <c r="BP170" s="58"/>
      <c r="BQ170" s="58"/>
      <c r="BR170" s="58"/>
      <c r="BS170" s="58"/>
      <c r="BT170" s="58"/>
      <c r="BU170" s="58"/>
      <c r="BV170" s="34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</row>
    <row r="171" spans="3:106">
      <c r="C171" s="123"/>
      <c r="D171" s="123"/>
      <c r="E171" s="2"/>
      <c r="I171" s="123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  <c r="AW171" s="58"/>
      <c r="AX171" s="58"/>
      <c r="AY171" s="58"/>
      <c r="AZ171" s="58"/>
      <c r="BA171" s="58"/>
      <c r="BB171" s="58"/>
      <c r="BC171" s="58"/>
      <c r="BD171" s="58"/>
      <c r="BE171" s="58"/>
      <c r="BF171" s="58"/>
      <c r="BG171" s="58"/>
      <c r="BH171" s="58"/>
      <c r="BI171" s="58"/>
      <c r="BJ171" s="58"/>
      <c r="BK171" s="58"/>
      <c r="BL171" s="58"/>
      <c r="BM171" s="58"/>
      <c r="BN171" s="58"/>
      <c r="BO171" s="58"/>
      <c r="BP171" s="58"/>
      <c r="BQ171" s="58"/>
      <c r="BR171" s="58"/>
      <c r="BS171" s="58"/>
      <c r="BT171" s="58"/>
      <c r="BU171" s="58"/>
      <c r="BV171" s="34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</row>
    <row r="172" spans="3:106">
      <c r="C172" s="123"/>
      <c r="D172" s="123"/>
      <c r="E172" s="2"/>
      <c r="I172" s="123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  <c r="AW172" s="58"/>
      <c r="AX172" s="58"/>
      <c r="AY172" s="58"/>
      <c r="AZ172" s="58"/>
      <c r="BA172" s="58"/>
      <c r="BB172" s="58"/>
      <c r="BC172" s="58"/>
      <c r="BD172" s="58"/>
      <c r="BE172" s="58"/>
      <c r="BF172" s="58"/>
      <c r="BG172" s="58"/>
      <c r="BH172" s="58"/>
      <c r="BI172" s="58"/>
      <c r="BJ172" s="58"/>
      <c r="BK172" s="58"/>
      <c r="BL172" s="58"/>
      <c r="BM172" s="58"/>
      <c r="BN172" s="58"/>
      <c r="BO172" s="58"/>
      <c r="BP172" s="58"/>
      <c r="BQ172" s="58"/>
      <c r="BR172" s="58"/>
      <c r="BS172" s="58"/>
      <c r="BT172" s="58"/>
      <c r="BU172" s="58"/>
      <c r="BV172" s="34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</row>
    <row r="173" spans="3:106">
      <c r="C173" s="123"/>
      <c r="D173" s="123"/>
      <c r="E173" s="2"/>
      <c r="I173" s="123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  <c r="AW173" s="58"/>
      <c r="AX173" s="58"/>
      <c r="AY173" s="58"/>
      <c r="AZ173" s="58"/>
      <c r="BA173" s="58"/>
      <c r="BB173" s="58"/>
      <c r="BC173" s="58"/>
      <c r="BD173" s="58"/>
      <c r="BE173" s="58"/>
      <c r="BF173" s="58"/>
      <c r="BG173" s="58"/>
      <c r="BH173" s="58"/>
      <c r="BI173" s="58"/>
      <c r="BJ173" s="58"/>
      <c r="BK173" s="58"/>
      <c r="BL173" s="58"/>
      <c r="BM173" s="58"/>
      <c r="BN173" s="58"/>
      <c r="BO173" s="58"/>
      <c r="BP173" s="58"/>
      <c r="BQ173" s="58"/>
      <c r="BR173" s="58"/>
      <c r="BS173" s="58"/>
      <c r="BT173" s="58"/>
      <c r="BU173" s="58"/>
      <c r="BV173" s="34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</row>
    <row r="174" spans="3:106">
      <c r="C174" s="123"/>
      <c r="D174" s="123"/>
      <c r="E174" s="2"/>
      <c r="I174" s="123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58"/>
      <c r="AW174" s="58"/>
      <c r="AX174" s="58"/>
      <c r="AY174" s="58"/>
      <c r="AZ174" s="58"/>
      <c r="BA174" s="58"/>
      <c r="BB174" s="58"/>
      <c r="BC174" s="58"/>
      <c r="BD174" s="58"/>
      <c r="BE174" s="58"/>
      <c r="BF174" s="58"/>
      <c r="BG174" s="58"/>
      <c r="BH174" s="58"/>
      <c r="BI174" s="58"/>
      <c r="BJ174" s="58"/>
      <c r="BK174" s="58"/>
      <c r="BL174" s="58"/>
      <c r="BM174" s="58"/>
      <c r="BN174" s="58"/>
      <c r="BO174" s="58"/>
      <c r="BP174" s="58"/>
      <c r="BQ174" s="58"/>
      <c r="BR174" s="58"/>
      <c r="BS174" s="58"/>
      <c r="BT174" s="58"/>
      <c r="BU174" s="58"/>
      <c r="BV174" s="34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</row>
    <row r="175" spans="3:106">
      <c r="C175" s="123"/>
      <c r="D175" s="123"/>
      <c r="E175" s="2"/>
      <c r="I175" s="123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58"/>
      <c r="AW175" s="58"/>
      <c r="AX175" s="58"/>
      <c r="AY175" s="58"/>
      <c r="AZ175" s="58"/>
      <c r="BA175" s="58"/>
      <c r="BB175" s="58"/>
      <c r="BC175" s="58"/>
      <c r="BD175" s="58"/>
      <c r="BE175" s="58"/>
      <c r="BF175" s="58"/>
      <c r="BG175" s="58"/>
      <c r="BH175" s="58"/>
      <c r="BI175" s="58"/>
      <c r="BJ175" s="58"/>
      <c r="BK175" s="58"/>
      <c r="BL175" s="58"/>
      <c r="BM175" s="58"/>
      <c r="BN175" s="58"/>
      <c r="BO175" s="58"/>
      <c r="BP175" s="58"/>
      <c r="BQ175" s="58"/>
      <c r="BR175" s="58"/>
      <c r="BS175" s="58"/>
      <c r="BT175" s="58"/>
      <c r="BU175" s="58"/>
      <c r="BV175" s="34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</row>
    <row r="176" spans="3:106">
      <c r="C176" s="123"/>
      <c r="D176" s="123"/>
      <c r="E176" s="2"/>
      <c r="I176" s="123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58"/>
      <c r="AW176" s="58"/>
      <c r="AX176" s="58"/>
      <c r="AY176" s="58"/>
      <c r="AZ176" s="58"/>
      <c r="BA176" s="58"/>
      <c r="BB176" s="58"/>
      <c r="BC176" s="58"/>
      <c r="BD176" s="58"/>
      <c r="BE176" s="58"/>
      <c r="BF176" s="58"/>
      <c r="BG176" s="58"/>
      <c r="BH176" s="58"/>
      <c r="BI176" s="58"/>
      <c r="BJ176" s="58"/>
      <c r="BK176" s="58"/>
      <c r="BL176" s="58"/>
      <c r="BM176" s="58"/>
      <c r="BN176" s="58"/>
      <c r="BO176" s="58"/>
      <c r="BP176" s="58"/>
      <c r="BQ176" s="58"/>
      <c r="BR176" s="58"/>
      <c r="BS176" s="58"/>
      <c r="BT176" s="58"/>
      <c r="BU176" s="58"/>
      <c r="BV176" s="34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</row>
    <row r="177" spans="3:106">
      <c r="C177" s="123"/>
      <c r="D177" s="123"/>
      <c r="E177" s="2"/>
      <c r="I177" s="123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  <c r="AW177" s="58"/>
      <c r="AX177" s="58"/>
      <c r="AY177" s="58"/>
      <c r="AZ177" s="58"/>
      <c r="BA177" s="58"/>
      <c r="BB177" s="58"/>
      <c r="BC177" s="58"/>
      <c r="BD177" s="58"/>
      <c r="BE177" s="58"/>
      <c r="BF177" s="58"/>
      <c r="BG177" s="58"/>
      <c r="BH177" s="58"/>
      <c r="BI177" s="58"/>
      <c r="BJ177" s="58"/>
      <c r="BK177" s="58"/>
      <c r="BL177" s="58"/>
      <c r="BM177" s="58"/>
      <c r="BN177" s="58"/>
      <c r="BO177" s="58"/>
      <c r="BP177" s="58"/>
      <c r="BQ177" s="58"/>
      <c r="BR177" s="58"/>
      <c r="BS177" s="58"/>
      <c r="BT177" s="58"/>
      <c r="BU177" s="58"/>
      <c r="BV177" s="34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</row>
    <row r="178" spans="3:106">
      <c r="C178" s="123"/>
      <c r="D178" s="123"/>
      <c r="E178" s="2"/>
      <c r="I178" s="123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  <c r="AW178" s="58"/>
      <c r="AX178" s="58"/>
      <c r="AY178" s="58"/>
      <c r="AZ178" s="58"/>
      <c r="BA178" s="58"/>
      <c r="BB178" s="58"/>
      <c r="BC178" s="58"/>
      <c r="BD178" s="58"/>
      <c r="BE178" s="58"/>
      <c r="BF178" s="58"/>
      <c r="BG178" s="58"/>
      <c r="BH178" s="58"/>
      <c r="BI178" s="58"/>
      <c r="BJ178" s="58"/>
      <c r="BK178" s="58"/>
      <c r="BL178" s="58"/>
      <c r="BM178" s="58"/>
      <c r="BN178" s="58"/>
      <c r="BO178" s="58"/>
      <c r="BP178" s="58"/>
      <c r="BQ178" s="58"/>
      <c r="BR178" s="58"/>
      <c r="BS178" s="58"/>
      <c r="BT178" s="58"/>
      <c r="BU178" s="58"/>
      <c r="BV178" s="34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</row>
    <row r="179" spans="3:106">
      <c r="C179" s="123"/>
      <c r="D179" s="123"/>
      <c r="E179" s="2"/>
      <c r="I179" s="123"/>
      <c r="K179" s="58"/>
      <c r="L179" s="58"/>
      <c r="M179" s="58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  <c r="AW179" s="58"/>
      <c r="AX179" s="58"/>
      <c r="AY179" s="58"/>
      <c r="AZ179" s="58"/>
      <c r="BA179" s="58"/>
      <c r="BB179" s="58"/>
      <c r="BC179" s="58"/>
      <c r="BD179" s="58"/>
      <c r="BE179" s="58"/>
      <c r="BF179" s="58"/>
      <c r="BG179" s="58"/>
      <c r="BH179" s="58"/>
      <c r="BI179" s="58"/>
      <c r="BJ179" s="58"/>
      <c r="BK179" s="58"/>
      <c r="BL179" s="58"/>
      <c r="BM179" s="58"/>
      <c r="BN179" s="58"/>
      <c r="BO179" s="58"/>
      <c r="BP179" s="58"/>
      <c r="BQ179" s="58"/>
      <c r="BR179" s="58"/>
      <c r="BS179" s="58"/>
      <c r="BT179" s="58"/>
      <c r="BU179" s="58"/>
      <c r="BV179" s="34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</row>
    <row r="180" spans="3:106">
      <c r="C180" s="123"/>
      <c r="D180" s="123"/>
      <c r="E180" s="2"/>
      <c r="I180" s="123"/>
      <c r="K180" s="58"/>
      <c r="L180" s="58"/>
      <c r="M180" s="58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58"/>
      <c r="AW180" s="58"/>
      <c r="AX180" s="58"/>
      <c r="AY180" s="58"/>
      <c r="AZ180" s="58"/>
      <c r="BA180" s="58"/>
      <c r="BB180" s="58"/>
      <c r="BC180" s="58"/>
      <c r="BD180" s="58"/>
      <c r="BE180" s="58"/>
      <c r="BF180" s="58"/>
      <c r="BG180" s="58"/>
      <c r="BH180" s="58"/>
      <c r="BI180" s="58"/>
      <c r="BJ180" s="58"/>
      <c r="BK180" s="58"/>
      <c r="BL180" s="58"/>
      <c r="BM180" s="58"/>
      <c r="BN180" s="58"/>
      <c r="BO180" s="58"/>
      <c r="BP180" s="58"/>
      <c r="BQ180" s="58"/>
      <c r="BR180" s="58"/>
      <c r="BS180" s="58"/>
      <c r="BT180" s="58"/>
      <c r="BU180" s="58"/>
      <c r="BV180" s="34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</row>
    <row r="181" spans="3:106">
      <c r="C181" s="123"/>
      <c r="D181" s="123"/>
      <c r="E181" s="2"/>
      <c r="I181" s="123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  <c r="AW181" s="58"/>
      <c r="AX181" s="58"/>
      <c r="AY181" s="58"/>
      <c r="AZ181" s="58"/>
      <c r="BA181" s="58"/>
      <c r="BB181" s="58"/>
      <c r="BC181" s="58"/>
      <c r="BD181" s="58"/>
      <c r="BE181" s="58"/>
      <c r="BF181" s="58"/>
      <c r="BG181" s="58"/>
      <c r="BH181" s="58"/>
      <c r="BI181" s="58"/>
      <c r="BJ181" s="58"/>
      <c r="BK181" s="58"/>
      <c r="BL181" s="58"/>
      <c r="BM181" s="58"/>
      <c r="BN181" s="58"/>
      <c r="BO181" s="58"/>
      <c r="BP181" s="58"/>
      <c r="BQ181" s="58"/>
      <c r="BR181" s="58"/>
      <c r="BS181" s="58"/>
      <c r="BT181" s="58"/>
      <c r="BU181" s="58"/>
      <c r="BV181" s="34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</row>
    <row r="182" spans="3:106">
      <c r="C182" s="123"/>
      <c r="D182" s="123"/>
      <c r="E182" s="2"/>
      <c r="I182" s="123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34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</row>
    <row r="183" spans="3:106">
      <c r="C183" s="123"/>
      <c r="D183" s="123"/>
      <c r="E183" s="2"/>
      <c r="I183" s="123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8"/>
      <c r="BA183" s="58"/>
      <c r="BB183" s="58"/>
      <c r="BC183" s="58"/>
      <c r="BD183" s="58"/>
      <c r="BE183" s="58"/>
      <c r="BF183" s="58"/>
      <c r="BG183" s="58"/>
      <c r="BH183" s="58"/>
      <c r="BI183" s="58"/>
      <c r="BJ183" s="58"/>
      <c r="BK183" s="58"/>
      <c r="BL183" s="58"/>
      <c r="BM183" s="58"/>
      <c r="BN183" s="58"/>
      <c r="BO183" s="58"/>
      <c r="BP183" s="58"/>
      <c r="BQ183" s="58"/>
      <c r="BR183" s="58"/>
      <c r="BS183" s="58"/>
      <c r="BT183" s="58"/>
      <c r="BU183" s="58"/>
      <c r="BV183" s="34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</row>
    <row r="184" spans="3:106">
      <c r="C184" s="123"/>
      <c r="D184" s="123"/>
      <c r="E184" s="2"/>
      <c r="I184" s="123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58"/>
      <c r="AW184" s="58"/>
      <c r="AX184" s="58"/>
      <c r="AY184" s="58"/>
      <c r="AZ184" s="58"/>
      <c r="BA184" s="58"/>
      <c r="BB184" s="58"/>
      <c r="BC184" s="58"/>
      <c r="BD184" s="58"/>
      <c r="BE184" s="58"/>
      <c r="BF184" s="58"/>
      <c r="BG184" s="58"/>
      <c r="BH184" s="58"/>
      <c r="BI184" s="58"/>
      <c r="BJ184" s="58"/>
      <c r="BK184" s="58"/>
      <c r="BL184" s="58"/>
      <c r="BM184" s="58"/>
      <c r="BN184" s="58"/>
      <c r="BO184" s="58"/>
      <c r="BP184" s="58"/>
      <c r="BQ184" s="58"/>
      <c r="BR184" s="58"/>
      <c r="BS184" s="58"/>
      <c r="BT184" s="58"/>
      <c r="BU184" s="58"/>
      <c r="BV184" s="34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</row>
    <row r="185" spans="3:106">
      <c r="C185" s="123"/>
      <c r="D185" s="123"/>
      <c r="E185" s="2"/>
      <c r="I185" s="123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58"/>
      <c r="AW185" s="58"/>
      <c r="AX185" s="58"/>
      <c r="AY185" s="58"/>
      <c r="AZ185" s="58"/>
      <c r="BA185" s="58"/>
      <c r="BB185" s="58"/>
      <c r="BC185" s="58"/>
      <c r="BD185" s="58"/>
      <c r="BE185" s="58"/>
      <c r="BF185" s="58"/>
      <c r="BG185" s="58"/>
      <c r="BH185" s="58"/>
      <c r="BI185" s="58"/>
      <c r="BJ185" s="58"/>
      <c r="BK185" s="58"/>
      <c r="BL185" s="58"/>
      <c r="BM185" s="58"/>
      <c r="BN185" s="58"/>
      <c r="BO185" s="58"/>
      <c r="BP185" s="58"/>
      <c r="BQ185" s="58"/>
      <c r="BR185" s="58"/>
      <c r="BS185" s="58"/>
      <c r="BT185" s="58"/>
      <c r="BU185" s="58"/>
      <c r="BV185" s="34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</row>
    <row r="186" spans="3:106">
      <c r="C186" s="123"/>
      <c r="D186" s="123"/>
      <c r="E186" s="2"/>
      <c r="I186" s="123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58"/>
      <c r="AW186" s="58"/>
      <c r="AX186" s="58"/>
      <c r="AY186" s="58"/>
      <c r="AZ186" s="58"/>
      <c r="BA186" s="58"/>
      <c r="BB186" s="58"/>
      <c r="BC186" s="58"/>
      <c r="BD186" s="58"/>
      <c r="BE186" s="58"/>
      <c r="BF186" s="58"/>
      <c r="BG186" s="58"/>
      <c r="BH186" s="58"/>
      <c r="BI186" s="58"/>
      <c r="BJ186" s="58"/>
      <c r="BK186" s="58"/>
      <c r="BL186" s="58"/>
      <c r="BM186" s="58"/>
      <c r="BN186" s="58"/>
      <c r="BO186" s="58"/>
      <c r="BP186" s="58"/>
      <c r="BQ186" s="58"/>
      <c r="BR186" s="58"/>
      <c r="BS186" s="58"/>
      <c r="BT186" s="58"/>
      <c r="BU186" s="58"/>
      <c r="BV186" s="34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</row>
    <row r="187" spans="3:106">
      <c r="C187" s="123"/>
      <c r="D187" s="123"/>
      <c r="E187" s="2"/>
      <c r="I187" s="123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58"/>
      <c r="AW187" s="58"/>
      <c r="AX187" s="58"/>
      <c r="AY187" s="58"/>
      <c r="AZ187" s="58"/>
      <c r="BA187" s="58"/>
      <c r="BB187" s="58"/>
      <c r="BC187" s="58"/>
      <c r="BD187" s="58"/>
      <c r="BE187" s="58"/>
      <c r="BF187" s="58"/>
      <c r="BG187" s="58"/>
      <c r="BH187" s="58"/>
      <c r="BI187" s="58"/>
      <c r="BJ187" s="58"/>
      <c r="BK187" s="58"/>
      <c r="BL187" s="58"/>
      <c r="BM187" s="58"/>
      <c r="BN187" s="58"/>
      <c r="BO187" s="58"/>
      <c r="BP187" s="58"/>
      <c r="BQ187" s="58"/>
      <c r="BR187" s="58"/>
      <c r="BS187" s="58"/>
      <c r="BT187" s="58"/>
      <c r="BU187" s="58"/>
      <c r="BV187" s="34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</row>
    <row r="188" spans="3:106">
      <c r="C188" s="123"/>
      <c r="D188" s="123"/>
      <c r="E188" s="2"/>
      <c r="I188" s="123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58"/>
      <c r="AW188" s="58"/>
      <c r="AX188" s="58"/>
      <c r="AY188" s="58"/>
      <c r="AZ188" s="58"/>
      <c r="BA188" s="58"/>
      <c r="BB188" s="58"/>
      <c r="BC188" s="58"/>
      <c r="BD188" s="58"/>
      <c r="BE188" s="58"/>
      <c r="BF188" s="58"/>
      <c r="BG188" s="58"/>
      <c r="BH188" s="58"/>
      <c r="BI188" s="58"/>
      <c r="BJ188" s="58"/>
      <c r="BK188" s="58"/>
      <c r="BL188" s="58"/>
      <c r="BM188" s="58"/>
      <c r="BN188" s="58"/>
      <c r="BO188" s="58"/>
      <c r="BP188" s="58"/>
      <c r="BQ188" s="58"/>
      <c r="BR188" s="58"/>
      <c r="BS188" s="58"/>
      <c r="BT188" s="58"/>
      <c r="BU188" s="58"/>
      <c r="BV188" s="34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</row>
    <row r="189" spans="3:106">
      <c r="C189" s="123"/>
      <c r="D189" s="123"/>
      <c r="E189" s="2"/>
      <c r="I189" s="123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58"/>
      <c r="AW189" s="58"/>
      <c r="AX189" s="58"/>
      <c r="AY189" s="58"/>
      <c r="AZ189" s="58"/>
      <c r="BA189" s="58"/>
      <c r="BB189" s="58"/>
      <c r="BC189" s="58"/>
      <c r="BD189" s="58"/>
      <c r="BE189" s="58"/>
      <c r="BF189" s="58"/>
      <c r="BG189" s="58"/>
      <c r="BH189" s="58"/>
      <c r="BI189" s="58"/>
      <c r="BJ189" s="58"/>
      <c r="BK189" s="58"/>
      <c r="BL189" s="58"/>
      <c r="BM189" s="58"/>
      <c r="BN189" s="58"/>
      <c r="BO189" s="58"/>
      <c r="BP189" s="58"/>
      <c r="BQ189" s="58"/>
      <c r="BR189" s="58"/>
      <c r="BS189" s="58"/>
      <c r="BT189" s="58"/>
      <c r="BU189" s="58"/>
      <c r="BV189" s="34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</row>
    <row r="190" spans="3:106">
      <c r="C190" s="123"/>
      <c r="D190" s="123"/>
      <c r="E190" s="2"/>
      <c r="I190" s="123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58"/>
      <c r="AW190" s="58"/>
      <c r="AX190" s="58"/>
      <c r="AY190" s="58"/>
      <c r="AZ190" s="58"/>
      <c r="BA190" s="58"/>
      <c r="BB190" s="58"/>
      <c r="BC190" s="58"/>
      <c r="BD190" s="58"/>
      <c r="BE190" s="58"/>
      <c r="BF190" s="58"/>
      <c r="BG190" s="58"/>
      <c r="BH190" s="58"/>
      <c r="BI190" s="58"/>
      <c r="BJ190" s="58"/>
      <c r="BK190" s="58"/>
      <c r="BL190" s="58"/>
      <c r="BM190" s="58"/>
      <c r="BN190" s="58"/>
      <c r="BO190" s="58"/>
      <c r="BP190" s="58"/>
      <c r="BQ190" s="58"/>
      <c r="BR190" s="58"/>
      <c r="BS190" s="58"/>
      <c r="BT190" s="58"/>
      <c r="BU190" s="58"/>
      <c r="BV190" s="34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</row>
    <row r="191" spans="3:106">
      <c r="C191" s="123"/>
      <c r="D191" s="123"/>
      <c r="E191" s="2"/>
      <c r="I191" s="123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  <c r="AG191" s="58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58"/>
      <c r="AW191" s="58"/>
      <c r="AX191" s="58"/>
      <c r="AY191" s="58"/>
      <c r="AZ191" s="58"/>
      <c r="BA191" s="58"/>
      <c r="BB191" s="58"/>
      <c r="BC191" s="58"/>
      <c r="BD191" s="58"/>
      <c r="BE191" s="58"/>
      <c r="BF191" s="58"/>
      <c r="BG191" s="58"/>
      <c r="BH191" s="58"/>
      <c r="BI191" s="58"/>
      <c r="BJ191" s="58"/>
      <c r="BK191" s="58"/>
      <c r="BL191" s="58"/>
      <c r="BM191" s="58"/>
      <c r="BN191" s="58"/>
      <c r="BO191" s="58"/>
      <c r="BP191" s="58"/>
      <c r="BQ191" s="58"/>
      <c r="BR191" s="58"/>
      <c r="BS191" s="58"/>
      <c r="BT191" s="58"/>
      <c r="BU191" s="58"/>
      <c r="BV191" s="34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</row>
    <row r="192" spans="3:106">
      <c r="C192" s="123"/>
      <c r="D192" s="123"/>
      <c r="E192" s="2"/>
      <c r="I192" s="123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58"/>
      <c r="AW192" s="58"/>
      <c r="AX192" s="58"/>
      <c r="AY192" s="58"/>
      <c r="AZ192" s="58"/>
      <c r="BA192" s="58"/>
      <c r="BB192" s="58"/>
      <c r="BC192" s="58"/>
      <c r="BD192" s="58"/>
      <c r="BE192" s="58"/>
      <c r="BF192" s="58"/>
      <c r="BG192" s="58"/>
      <c r="BH192" s="58"/>
      <c r="BI192" s="58"/>
      <c r="BJ192" s="58"/>
      <c r="BK192" s="58"/>
      <c r="BL192" s="58"/>
      <c r="BM192" s="58"/>
      <c r="BN192" s="58"/>
      <c r="BO192" s="58"/>
      <c r="BP192" s="58"/>
      <c r="BQ192" s="58"/>
      <c r="BR192" s="58"/>
      <c r="BS192" s="58"/>
      <c r="BT192" s="58"/>
      <c r="BU192" s="58"/>
      <c r="BV192" s="34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</row>
    <row r="193" spans="3:106">
      <c r="C193" s="123"/>
      <c r="D193" s="123"/>
      <c r="E193" s="2"/>
      <c r="I193" s="123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58"/>
      <c r="AW193" s="58"/>
      <c r="AX193" s="58"/>
      <c r="AY193" s="58"/>
      <c r="AZ193" s="58"/>
      <c r="BA193" s="58"/>
      <c r="BB193" s="58"/>
      <c r="BC193" s="58"/>
      <c r="BD193" s="58"/>
      <c r="BE193" s="58"/>
      <c r="BF193" s="58"/>
      <c r="BG193" s="58"/>
      <c r="BH193" s="58"/>
      <c r="BI193" s="58"/>
      <c r="BJ193" s="58"/>
      <c r="BK193" s="58"/>
      <c r="BL193" s="58"/>
      <c r="BM193" s="58"/>
      <c r="BN193" s="58"/>
      <c r="BO193" s="58"/>
      <c r="BP193" s="58"/>
      <c r="BQ193" s="58"/>
      <c r="BR193" s="58"/>
      <c r="BS193" s="58"/>
      <c r="BT193" s="58"/>
      <c r="BU193" s="58"/>
      <c r="BV193" s="34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</row>
    <row r="194" spans="3:106">
      <c r="C194" s="123"/>
      <c r="D194" s="123"/>
      <c r="E194" s="2"/>
      <c r="I194" s="123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58"/>
      <c r="AW194" s="58"/>
      <c r="AX194" s="58"/>
      <c r="AY194" s="58"/>
      <c r="AZ194" s="58"/>
      <c r="BA194" s="58"/>
      <c r="BB194" s="58"/>
      <c r="BC194" s="58"/>
      <c r="BD194" s="58"/>
      <c r="BE194" s="58"/>
      <c r="BF194" s="58"/>
      <c r="BG194" s="58"/>
      <c r="BH194" s="58"/>
      <c r="BI194" s="58"/>
      <c r="BJ194" s="58"/>
      <c r="BK194" s="58"/>
      <c r="BL194" s="58"/>
      <c r="BM194" s="58"/>
      <c r="BN194" s="58"/>
      <c r="BO194" s="58"/>
      <c r="BP194" s="58"/>
      <c r="BQ194" s="58"/>
      <c r="BR194" s="58"/>
      <c r="BS194" s="58"/>
      <c r="BT194" s="58"/>
      <c r="BU194" s="58"/>
      <c r="BV194" s="34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</row>
    <row r="195" spans="3:106">
      <c r="C195" s="123"/>
      <c r="D195" s="123"/>
      <c r="E195" s="2"/>
      <c r="I195" s="123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  <c r="AT195" s="58"/>
      <c r="AU195" s="58"/>
      <c r="AV195" s="58"/>
      <c r="AW195" s="58"/>
      <c r="AX195" s="58"/>
      <c r="AY195" s="58"/>
      <c r="AZ195" s="58"/>
      <c r="BA195" s="58"/>
      <c r="BB195" s="58"/>
      <c r="BC195" s="58"/>
      <c r="BD195" s="58"/>
      <c r="BE195" s="58"/>
      <c r="BF195" s="58"/>
      <c r="BG195" s="58"/>
      <c r="BH195" s="58"/>
      <c r="BI195" s="58"/>
      <c r="BJ195" s="58"/>
      <c r="BK195" s="58"/>
      <c r="BL195" s="58"/>
      <c r="BM195" s="58"/>
      <c r="BN195" s="58"/>
      <c r="BO195" s="58"/>
      <c r="BP195" s="58"/>
      <c r="BQ195" s="58"/>
      <c r="BR195" s="58"/>
      <c r="BS195" s="58"/>
      <c r="BT195" s="58"/>
      <c r="BU195" s="58"/>
      <c r="BV195" s="34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</row>
    <row r="196" spans="3:106">
      <c r="C196" s="123"/>
      <c r="D196" s="123"/>
      <c r="E196" s="2"/>
      <c r="I196" s="123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58"/>
      <c r="AW196" s="58"/>
      <c r="AX196" s="58"/>
      <c r="AY196" s="58"/>
      <c r="AZ196" s="58"/>
      <c r="BA196" s="58"/>
      <c r="BB196" s="58"/>
      <c r="BC196" s="58"/>
      <c r="BD196" s="58"/>
      <c r="BE196" s="58"/>
      <c r="BF196" s="58"/>
      <c r="BG196" s="58"/>
      <c r="BH196" s="58"/>
      <c r="BI196" s="58"/>
      <c r="BJ196" s="58"/>
      <c r="BK196" s="58"/>
      <c r="BL196" s="58"/>
      <c r="BM196" s="58"/>
      <c r="BN196" s="58"/>
      <c r="BO196" s="58"/>
      <c r="BP196" s="58"/>
      <c r="BQ196" s="58"/>
      <c r="BR196" s="58"/>
      <c r="BS196" s="58"/>
      <c r="BT196" s="58"/>
      <c r="BU196" s="58"/>
      <c r="BV196" s="34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</row>
    <row r="197" spans="3:106">
      <c r="C197" s="123"/>
      <c r="D197" s="123"/>
      <c r="E197" s="2"/>
      <c r="I197" s="123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  <c r="AR197" s="58"/>
      <c r="AS197" s="58"/>
      <c r="AT197" s="58"/>
      <c r="AU197" s="58"/>
      <c r="AV197" s="58"/>
      <c r="AW197" s="58"/>
      <c r="AX197" s="58"/>
      <c r="AY197" s="58"/>
      <c r="AZ197" s="58"/>
      <c r="BA197" s="58"/>
      <c r="BB197" s="58"/>
      <c r="BC197" s="58"/>
      <c r="BD197" s="58"/>
      <c r="BE197" s="58"/>
      <c r="BF197" s="58"/>
      <c r="BG197" s="58"/>
      <c r="BH197" s="58"/>
      <c r="BI197" s="58"/>
      <c r="BJ197" s="58"/>
      <c r="BK197" s="58"/>
      <c r="BL197" s="58"/>
      <c r="BM197" s="58"/>
      <c r="BN197" s="58"/>
      <c r="BO197" s="58"/>
      <c r="BP197" s="58"/>
      <c r="BQ197" s="58"/>
      <c r="BR197" s="58"/>
      <c r="BS197" s="58"/>
      <c r="BT197" s="58"/>
      <c r="BU197" s="58"/>
      <c r="BV197" s="34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</row>
    <row r="198" spans="3:106">
      <c r="C198" s="123"/>
      <c r="D198" s="123"/>
      <c r="E198" s="2"/>
      <c r="I198" s="123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58"/>
      <c r="AW198" s="58"/>
      <c r="AX198" s="58"/>
      <c r="AY198" s="58"/>
      <c r="AZ198" s="58"/>
      <c r="BA198" s="58"/>
      <c r="BB198" s="58"/>
      <c r="BC198" s="58"/>
      <c r="BD198" s="58"/>
      <c r="BE198" s="58"/>
      <c r="BF198" s="58"/>
      <c r="BG198" s="58"/>
      <c r="BH198" s="58"/>
      <c r="BI198" s="58"/>
      <c r="BJ198" s="58"/>
      <c r="BK198" s="58"/>
      <c r="BL198" s="58"/>
      <c r="BM198" s="58"/>
      <c r="BN198" s="58"/>
      <c r="BO198" s="58"/>
      <c r="BP198" s="58"/>
      <c r="BQ198" s="58"/>
      <c r="BR198" s="58"/>
      <c r="BS198" s="58"/>
      <c r="BT198" s="58"/>
      <c r="BU198" s="58"/>
      <c r="BV198" s="34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</row>
    <row r="199" spans="3:106">
      <c r="C199" s="123"/>
      <c r="D199" s="123"/>
      <c r="E199" s="2"/>
      <c r="I199" s="123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58"/>
      <c r="AW199" s="58"/>
      <c r="AX199" s="58"/>
      <c r="AY199" s="58"/>
      <c r="AZ199" s="58"/>
      <c r="BA199" s="58"/>
      <c r="BB199" s="58"/>
      <c r="BC199" s="58"/>
      <c r="BD199" s="58"/>
      <c r="BE199" s="58"/>
      <c r="BF199" s="58"/>
      <c r="BG199" s="58"/>
      <c r="BH199" s="58"/>
      <c r="BI199" s="58"/>
      <c r="BJ199" s="58"/>
      <c r="BK199" s="58"/>
      <c r="BL199" s="58"/>
      <c r="BM199" s="58"/>
      <c r="BN199" s="58"/>
      <c r="BO199" s="58"/>
      <c r="BP199" s="58"/>
      <c r="BQ199" s="58"/>
      <c r="BR199" s="58"/>
      <c r="BS199" s="58"/>
      <c r="BT199" s="58"/>
      <c r="BU199" s="58"/>
      <c r="BV199" s="34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</row>
    <row r="200" spans="3:106">
      <c r="C200" s="123"/>
      <c r="D200" s="123"/>
      <c r="E200" s="2"/>
      <c r="I200" s="123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  <c r="AR200" s="58"/>
      <c r="AS200" s="58"/>
      <c r="AT200" s="58"/>
      <c r="AU200" s="58"/>
      <c r="AV200" s="58"/>
      <c r="AW200" s="58"/>
      <c r="AX200" s="58"/>
      <c r="AY200" s="58"/>
      <c r="AZ200" s="58"/>
      <c r="BA200" s="58"/>
      <c r="BB200" s="58"/>
      <c r="BC200" s="58"/>
      <c r="BD200" s="58"/>
      <c r="BE200" s="58"/>
      <c r="BF200" s="58"/>
      <c r="BG200" s="58"/>
      <c r="BH200" s="58"/>
      <c r="BI200" s="58"/>
      <c r="BJ200" s="58"/>
      <c r="BK200" s="58"/>
      <c r="BL200" s="58"/>
      <c r="BM200" s="58"/>
      <c r="BN200" s="58"/>
      <c r="BO200" s="58"/>
      <c r="BP200" s="58"/>
      <c r="BQ200" s="58"/>
      <c r="BR200" s="58"/>
      <c r="BS200" s="58"/>
      <c r="BT200" s="58"/>
      <c r="BU200" s="58"/>
      <c r="BV200" s="34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</row>
    <row r="201" spans="3:106">
      <c r="C201" s="123"/>
      <c r="D201" s="123"/>
      <c r="E201" s="2"/>
      <c r="I201" s="123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  <c r="AG201" s="58"/>
      <c r="AH201" s="58"/>
      <c r="AI201" s="58"/>
      <c r="AJ201" s="58"/>
      <c r="AK201" s="58"/>
      <c r="AL201" s="58"/>
      <c r="AM201" s="58"/>
      <c r="AN201" s="58"/>
      <c r="AO201" s="58"/>
      <c r="AP201" s="58"/>
      <c r="AQ201" s="58"/>
      <c r="AR201" s="58"/>
      <c r="AS201" s="58"/>
      <c r="AT201" s="58"/>
      <c r="AU201" s="58"/>
      <c r="AV201" s="58"/>
      <c r="AW201" s="58"/>
      <c r="AX201" s="58"/>
      <c r="AY201" s="58"/>
      <c r="AZ201" s="58"/>
      <c r="BA201" s="58"/>
      <c r="BB201" s="58"/>
      <c r="BC201" s="58"/>
      <c r="BD201" s="58"/>
      <c r="BE201" s="58"/>
      <c r="BF201" s="58"/>
      <c r="BG201" s="58"/>
      <c r="BH201" s="58"/>
      <c r="BI201" s="58"/>
      <c r="BJ201" s="58"/>
      <c r="BK201" s="58"/>
      <c r="BL201" s="58"/>
      <c r="BM201" s="58"/>
      <c r="BN201" s="58"/>
      <c r="BO201" s="58"/>
      <c r="BP201" s="58"/>
      <c r="BQ201" s="58"/>
      <c r="BR201" s="58"/>
      <c r="BS201" s="58"/>
      <c r="BT201" s="58"/>
      <c r="BU201" s="58"/>
      <c r="BV201" s="34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</row>
    <row r="202" spans="3:106">
      <c r="C202" s="123"/>
      <c r="D202" s="123"/>
      <c r="E202" s="2"/>
      <c r="I202" s="123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  <c r="AG202" s="58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58"/>
      <c r="AW202" s="58"/>
      <c r="AX202" s="58"/>
      <c r="AY202" s="58"/>
      <c r="AZ202" s="58"/>
      <c r="BA202" s="58"/>
      <c r="BB202" s="58"/>
      <c r="BC202" s="58"/>
      <c r="BD202" s="58"/>
      <c r="BE202" s="58"/>
      <c r="BF202" s="58"/>
      <c r="BG202" s="58"/>
      <c r="BH202" s="58"/>
      <c r="BI202" s="58"/>
      <c r="BJ202" s="58"/>
      <c r="BK202" s="58"/>
      <c r="BL202" s="58"/>
      <c r="BM202" s="58"/>
      <c r="BN202" s="58"/>
      <c r="BO202" s="58"/>
      <c r="BP202" s="58"/>
      <c r="BQ202" s="58"/>
      <c r="BR202" s="58"/>
      <c r="BS202" s="58"/>
      <c r="BT202" s="58"/>
      <c r="BU202" s="58"/>
      <c r="BV202" s="34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</row>
    <row r="203" spans="3:106">
      <c r="C203" s="123"/>
      <c r="D203" s="123"/>
      <c r="E203" s="2"/>
      <c r="I203" s="123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58"/>
      <c r="AW203" s="58"/>
      <c r="AX203" s="58"/>
      <c r="AY203" s="58"/>
      <c r="AZ203" s="58"/>
      <c r="BA203" s="58"/>
      <c r="BB203" s="58"/>
      <c r="BC203" s="58"/>
      <c r="BD203" s="58"/>
      <c r="BE203" s="58"/>
      <c r="BF203" s="58"/>
      <c r="BG203" s="58"/>
      <c r="BH203" s="58"/>
      <c r="BI203" s="58"/>
      <c r="BJ203" s="58"/>
      <c r="BK203" s="58"/>
      <c r="BL203" s="58"/>
      <c r="BM203" s="58"/>
      <c r="BN203" s="58"/>
      <c r="BO203" s="58"/>
      <c r="BP203" s="58"/>
      <c r="BQ203" s="58"/>
      <c r="BR203" s="58"/>
      <c r="BS203" s="58"/>
      <c r="BT203" s="58"/>
      <c r="BU203" s="58"/>
      <c r="BV203" s="34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</row>
    <row r="204" spans="3:106">
      <c r="C204" s="123"/>
      <c r="D204" s="123"/>
      <c r="E204" s="2"/>
      <c r="I204" s="123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58"/>
      <c r="AW204" s="58"/>
      <c r="AX204" s="58"/>
      <c r="AY204" s="58"/>
      <c r="AZ204" s="58"/>
      <c r="BA204" s="58"/>
      <c r="BB204" s="58"/>
      <c r="BC204" s="58"/>
      <c r="BD204" s="58"/>
      <c r="BE204" s="58"/>
      <c r="BF204" s="58"/>
      <c r="BG204" s="58"/>
      <c r="BH204" s="58"/>
      <c r="BI204" s="58"/>
      <c r="BJ204" s="58"/>
      <c r="BK204" s="58"/>
      <c r="BL204" s="58"/>
      <c r="BM204" s="58"/>
      <c r="BN204" s="58"/>
      <c r="BO204" s="58"/>
      <c r="BP204" s="58"/>
      <c r="BQ204" s="58"/>
      <c r="BR204" s="58"/>
      <c r="BS204" s="58"/>
      <c r="BT204" s="58"/>
      <c r="BU204" s="58"/>
      <c r="BV204" s="34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</row>
    <row r="205" spans="3:106">
      <c r="C205" s="123"/>
      <c r="D205" s="123"/>
      <c r="E205" s="2"/>
      <c r="I205" s="123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58"/>
      <c r="AW205" s="58"/>
      <c r="AX205" s="58"/>
      <c r="AY205" s="58"/>
      <c r="AZ205" s="58"/>
      <c r="BA205" s="58"/>
      <c r="BB205" s="58"/>
      <c r="BC205" s="58"/>
      <c r="BD205" s="58"/>
      <c r="BE205" s="58"/>
      <c r="BF205" s="58"/>
      <c r="BG205" s="58"/>
      <c r="BH205" s="58"/>
      <c r="BI205" s="58"/>
      <c r="BJ205" s="58"/>
      <c r="BK205" s="58"/>
      <c r="BL205" s="58"/>
      <c r="BM205" s="58"/>
      <c r="BN205" s="58"/>
      <c r="BO205" s="58"/>
      <c r="BP205" s="58"/>
      <c r="BQ205" s="58"/>
      <c r="BR205" s="58"/>
      <c r="BS205" s="58"/>
      <c r="BT205" s="58"/>
      <c r="BU205" s="58"/>
      <c r="BV205" s="34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</row>
    <row r="206" spans="3:106">
      <c r="C206" s="123"/>
      <c r="D206" s="123"/>
      <c r="E206" s="2"/>
      <c r="I206" s="123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  <c r="AK206" s="58"/>
      <c r="AL206" s="58"/>
      <c r="AM206" s="58"/>
      <c r="AN206" s="58"/>
      <c r="AO206" s="58"/>
      <c r="AP206" s="58"/>
      <c r="AQ206" s="58"/>
      <c r="AR206" s="58"/>
      <c r="AS206" s="58"/>
      <c r="AT206" s="58"/>
      <c r="AU206" s="58"/>
      <c r="AV206" s="58"/>
      <c r="AW206" s="58"/>
      <c r="AX206" s="58"/>
      <c r="AY206" s="58"/>
      <c r="AZ206" s="58"/>
      <c r="BA206" s="58"/>
      <c r="BB206" s="58"/>
      <c r="BC206" s="58"/>
      <c r="BD206" s="58"/>
      <c r="BE206" s="58"/>
      <c r="BF206" s="58"/>
      <c r="BG206" s="58"/>
      <c r="BH206" s="58"/>
      <c r="BI206" s="58"/>
      <c r="BJ206" s="58"/>
      <c r="BK206" s="58"/>
      <c r="BL206" s="58"/>
      <c r="BM206" s="58"/>
      <c r="BN206" s="58"/>
      <c r="BO206" s="58"/>
      <c r="BP206" s="58"/>
      <c r="BQ206" s="58"/>
      <c r="BR206" s="58"/>
      <c r="BS206" s="58"/>
      <c r="BT206" s="58"/>
      <c r="BU206" s="58"/>
      <c r="BV206" s="34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</row>
    <row r="207" spans="3:106">
      <c r="C207" s="123"/>
      <c r="D207" s="123"/>
      <c r="E207" s="2"/>
      <c r="I207" s="123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  <c r="AT207" s="58"/>
      <c r="AU207" s="58"/>
      <c r="AV207" s="58"/>
      <c r="AW207" s="58"/>
      <c r="AX207" s="58"/>
      <c r="AY207" s="58"/>
      <c r="AZ207" s="58"/>
      <c r="BA207" s="58"/>
      <c r="BB207" s="58"/>
      <c r="BC207" s="58"/>
      <c r="BD207" s="58"/>
      <c r="BE207" s="58"/>
      <c r="BF207" s="58"/>
      <c r="BG207" s="58"/>
      <c r="BH207" s="58"/>
      <c r="BI207" s="58"/>
      <c r="BJ207" s="58"/>
      <c r="BK207" s="58"/>
      <c r="BL207" s="58"/>
      <c r="BM207" s="58"/>
      <c r="BN207" s="58"/>
      <c r="BO207" s="58"/>
      <c r="BP207" s="58"/>
      <c r="BQ207" s="58"/>
      <c r="BR207" s="58"/>
      <c r="BS207" s="58"/>
      <c r="BT207" s="58"/>
      <c r="BU207" s="58"/>
      <c r="BV207" s="34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</row>
    <row r="208" spans="3:106">
      <c r="C208" s="123"/>
      <c r="D208" s="123"/>
      <c r="E208" s="2"/>
      <c r="I208" s="123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  <c r="AT208" s="58"/>
      <c r="AU208" s="58"/>
      <c r="AV208" s="58"/>
      <c r="AW208" s="58"/>
      <c r="AX208" s="58"/>
      <c r="AY208" s="58"/>
      <c r="AZ208" s="58"/>
      <c r="BA208" s="58"/>
      <c r="BB208" s="58"/>
      <c r="BC208" s="58"/>
      <c r="BD208" s="58"/>
      <c r="BE208" s="58"/>
      <c r="BF208" s="58"/>
      <c r="BG208" s="58"/>
      <c r="BH208" s="58"/>
      <c r="BI208" s="58"/>
      <c r="BJ208" s="58"/>
      <c r="BK208" s="58"/>
      <c r="BL208" s="58"/>
      <c r="BM208" s="58"/>
      <c r="BN208" s="58"/>
      <c r="BO208" s="58"/>
      <c r="BP208" s="58"/>
      <c r="BQ208" s="58"/>
      <c r="BR208" s="58"/>
      <c r="BS208" s="58"/>
      <c r="BT208" s="58"/>
      <c r="BU208" s="58"/>
      <c r="BV208" s="34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</row>
    <row r="209" spans="3:106">
      <c r="C209" s="123"/>
      <c r="D209" s="123"/>
      <c r="E209" s="2"/>
      <c r="I209" s="123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58"/>
      <c r="AW209" s="58"/>
      <c r="AX209" s="58"/>
      <c r="AY209" s="58"/>
      <c r="AZ209" s="58"/>
      <c r="BA209" s="58"/>
      <c r="BB209" s="58"/>
      <c r="BC209" s="58"/>
      <c r="BD209" s="58"/>
      <c r="BE209" s="58"/>
      <c r="BF209" s="58"/>
      <c r="BG209" s="58"/>
      <c r="BH209" s="58"/>
      <c r="BI209" s="58"/>
      <c r="BJ209" s="58"/>
      <c r="BK209" s="58"/>
      <c r="BL209" s="58"/>
      <c r="BM209" s="58"/>
      <c r="BN209" s="58"/>
      <c r="BO209" s="58"/>
      <c r="BP209" s="58"/>
      <c r="BQ209" s="58"/>
      <c r="BR209" s="58"/>
      <c r="BS209" s="58"/>
      <c r="BT209" s="58"/>
      <c r="BU209" s="58"/>
      <c r="BV209" s="34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</row>
    <row r="210" spans="3:106">
      <c r="C210" s="123"/>
      <c r="D210" s="123"/>
      <c r="E210" s="2"/>
      <c r="I210" s="123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  <c r="AK210" s="58"/>
      <c r="AL210" s="58"/>
      <c r="AM210" s="58"/>
      <c r="AN210" s="58"/>
      <c r="AO210" s="58"/>
      <c r="AP210" s="58"/>
      <c r="AQ210" s="58"/>
      <c r="AR210" s="58"/>
      <c r="AS210" s="58"/>
      <c r="AT210" s="58"/>
      <c r="AU210" s="58"/>
      <c r="AV210" s="58"/>
      <c r="AW210" s="58"/>
      <c r="AX210" s="58"/>
      <c r="AY210" s="58"/>
      <c r="AZ210" s="58"/>
      <c r="BA210" s="58"/>
      <c r="BB210" s="58"/>
      <c r="BC210" s="58"/>
      <c r="BD210" s="58"/>
      <c r="BE210" s="58"/>
      <c r="BF210" s="58"/>
      <c r="BG210" s="58"/>
      <c r="BH210" s="58"/>
      <c r="BI210" s="58"/>
      <c r="BJ210" s="58"/>
      <c r="BK210" s="58"/>
      <c r="BL210" s="58"/>
      <c r="BM210" s="58"/>
      <c r="BN210" s="58"/>
      <c r="BO210" s="58"/>
      <c r="BP210" s="58"/>
      <c r="BQ210" s="58"/>
      <c r="BR210" s="58"/>
      <c r="BS210" s="58"/>
      <c r="BT210" s="58"/>
      <c r="BU210" s="58"/>
      <c r="BV210" s="34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</row>
    <row r="211" spans="3:106">
      <c r="C211" s="123"/>
      <c r="D211" s="123"/>
      <c r="E211" s="2"/>
      <c r="I211" s="123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58"/>
      <c r="AW211" s="58"/>
      <c r="AX211" s="58"/>
      <c r="AY211" s="58"/>
      <c r="AZ211" s="58"/>
      <c r="BA211" s="58"/>
      <c r="BB211" s="58"/>
      <c r="BC211" s="58"/>
      <c r="BD211" s="58"/>
      <c r="BE211" s="58"/>
      <c r="BF211" s="58"/>
      <c r="BG211" s="58"/>
      <c r="BH211" s="58"/>
      <c r="BI211" s="58"/>
      <c r="BJ211" s="58"/>
      <c r="BK211" s="58"/>
      <c r="BL211" s="58"/>
      <c r="BM211" s="58"/>
      <c r="BN211" s="58"/>
      <c r="BO211" s="58"/>
      <c r="BP211" s="58"/>
      <c r="BQ211" s="58"/>
      <c r="BR211" s="58"/>
      <c r="BS211" s="58"/>
      <c r="BT211" s="58"/>
      <c r="BU211" s="58"/>
      <c r="BV211" s="34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</row>
  </sheetData>
  <sheetProtection sheet="1" objects="1" scenarios="1"/>
  <printOptions horizontalCentered="1" verticalCentered="1"/>
  <pageMargins left="0.7" right="0.7" top="0.75" bottom="0.75" header="0.3" footer="0.3"/>
  <pageSetup scale="60" fitToHeight="10" orientation="landscape" r:id="rId1"/>
  <headerFooter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1" r:id="rId4" name="Button 63">
              <controlPr defaultSize="0" print="0" autoFill="0" autoLine="0" autoPict="0" macro="[0]!InsertImageObject">
                <anchor moveWithCells="1" sizeWithCells="1">
                  <from>
                    <xdr:col>9</xdr:col>
                    <xdr:colOff>60960</xdr:colOff>
                    <xdr:row>4</xdr:row>
                    <xdr:rowOff>60960</xdr:rowOff>
                  </from>
                  <to>
                    <xdr:col>9</xdr:col>
                    <xdr:colOff>1226820</xdr:colOff>
                    <xdr:row>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" name="Button 66">
              <controlPr locked="0" defaultSize="0" print="0" autoFill="0" autoLine="0" autoPict="0" macro="[0]!AddDetailRow">
                <anchor moveWithCells="1" sizeWithCells="1">
                  <from>
                    <xdr:col>8</xdr:col>
                    <xdr:colOff>60960</xdr:colOff>
                    <xdr:row>4</xdr:row>
                    <xdr:rowOff>60960</xdr:rowOff>
                  </from>
                  <to>
                    <xdr:col>8</xdr:col>
                    <xdr:colOff>1287780</xdr:colOff>
                    <xdr:row>4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6" name="Button 67">
              <controlPr locked="0" defaultSize="0" print="0" autoFill="0" autoLine="0" autoPict="0" macro="[0]!WebOnly">
                <anchor moveWithCells="1" sizeWithCells="1">
                  <from>
                    <xdr:col>8</xdr:col>
                    <xdr:colOff>30480</xdr:colOff>
                    <xdr:row>0</xdr:row>
                    <xdr:rowOff>30480</xdr:rowOff>
                  </from>
                  <to>
                    <xdr:col>8</xdr:col>
                    <xdr:colOff>1318260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" name="Button 68">
              <controlPr locked="0" defaultSize="0" print="0" autoFill="0" autoLine="0" autoPict="0" macro="[0]!SWOnly">
                <anchor moveWithCells="1" sizeWithCells="1">
                  <from>
                    <xdr:col>8</xdr:col>
                    <xdr:colOff>30480</xdr:colOff>
                    <xdr:row>1</xdr:row>
                    <xdr:rowOff>7620</xdr:rowOff>
                  </from>
                  <to>
                    <xdr:col>8</xdr:col>
                    <xdr:colOff>1303020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8" name="Button 69">
              <controlPr locked="0" defaultSize="0" print="0" autoFill="0" autoLine="0" autoPict="0" macro="[0]!ClearAll">
                <anchor moveWithCells="1" sizeWithCells="1">
                  <from>
                    <xdr:col>8</xdr:col>
                    <xdr:colOff>22860</xdr:colOff>
                    <xdr:row>3</xdr:row>
                    <xdr:rowOff>22860</xdr:rowOff>
                  </from>
                  <to>
                    <xdr:col>8</xdr:col>
                    <xdr:colOff>990600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9" name="Button 71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99060</xdr:colOff>
                    <xdr:row>33</xdr:row>
                    <xdr:rowOff>220980</xdr:rowOff>
                  </from>
                  <to>
                    <xdr:col>0</xdr:col>
                    <xdr:colOff>1181100</xdr:colOff>
                    <xdr:row>33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152400</xdr:colOff>
                    <xdr:row>55</xdr:row>
                    <xdr:rowOff>289560</xdr:rowOff>
                  </from>
                  <to>
                    <xdr:col>0</xdr:col>
                    <xdr:colOff>1242060</xdr:colOff>
                    <xdr:row>55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60960</xdr:colOff>
                    <xdr:row>60</xdr:row>
                    <xdr:rowOff>259080</xdr:rowOff>
                  </from>
                  <to>
                    <xdr:col>0</xdr:col>
                    <xdr:colOff>1143000</xdr:colOff>
                    <xdr:row>60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12" name="Button 79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144780</xdr:colOff>
                    <xdr:row>62</xdr:row>
                    <xdr:rowOff>289560</xdr:rowOff>
                  </from>
                  <to>
                    <xdr:col>0</xdr:col>
                    <xdr:colOff>1226820</xdr:colOff>
                    <xdr:row>62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13" name="Button 80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99060</xdr:colOff>
                    <xdr:row>5</xdr:row>
                    <xdr:rowOff>213360</xdr:rowOff>
                  </from>
                  <to>
                    <xdr:col>0</xdr:col>
                    <xdr:colOff>1181100</xdr:colOff>
                    <xdr:row>5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14" name="Button 81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83820</xdr:colOff>
                    <xdr:row>10</xdr:row>
                    <xdr:rowOff>251460</xdr:rowOff>
                  </from>
                  <to>
                    <xdr:col>0</xdr:col>
                    <xdr:colOff>1173480</xdr:colOff>
                    <xdr:row>10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5" name="Button 98">
              <controlPr locked="0" defaultSize="0" print="0" autoFill="0" autoLine="0" autoPict="0" macro="[0]!DeleteDetailRow">
                <anchor moveWithCells="1" sizeWithCells="1">
                  <from>
                    <xdr:col>8</xdr:col>
                    <xdr:colOff>60960</xdr:colOff>
                    <xdr:row>4</xdr:row>
                    <xdr:rowOff>312420</xdr:rowOff>
                  </from>
                  <to>
                    <xdr:col>8</xdr:col>
                    <xdr:colOff>1280160</xdr:colOff>
                    <xdr:row>4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6" name="Button 120">
              <controlPr defaultSize="0" print="0" autoFill="0" autoLine="0" autoPict="0" macro="[0]!DeleteImageObject">
                <anchor moveWithCells="1" sizeWithCells="1">
                  <from>
                    <xdr:col>9</xdr:col>
                    <xdr:colOff>60960</xdr:colOff>
                    <xdr:row>4</xdr:row>
                    <xdr:rowOff>312420</xdr:rowOff>
                  </from>
                  <to>
                    <xdr:col>9</xdr:col>
                    <xdr:colOff>1226820</xdr:colOff>
                    <xdr:row>4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7" name="Button 131">
              <controlPr locked="0" defaultSize="0" print="0" autoFill="0" autoLine="0" autoPict="0" macro="[0]!ToggleNA1">
                <anchor moveWithCells="1" sizeWithCells="1">
                  <from>
                    <xdr:col>0</xdr:col>
                    <xdr:colOff>76200</xdr:colOff>
                    <xdr:row>23</xdr:row>
                    <xdr:rowOff>266700</xdr:rowOff>
                  </from>
                  <to>
                    <xdr:col>0</xdr:col>
                    <xdr:colOff>1165860</xdr:colOff>
                    <xdr:row>23</xdr:row>
                    <xdr:rowOff>487680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[1]Lists!#REF!</xm:f>
          </x14:formula1>
          <xm:sqref>G71</xm:sqref>
        </x14:dataValidation>
        <x14:dataValidation type="list" allowBlank="1" showInputMessage="1" showErrorMessage="1">
          <x14:formula1>
            <xm:f>Lists!$A$7:$A$11</xm:f>
          </x14:formula1>
          <xm:sqref>F6:F70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1"/>
  <sheetViews>
    <sheetView zoomScaleSheetLayoutView="90" workbookViewId="0">
      <selection activeCell="E19" sqref="E19"/>
    </sheetView>
  </sheetViews>
  <sheetFormatPr defaultColWidth="9.109375" defaultRowHeight="14.4"/>
  <cols>
    <col min="1" max="1" width="9" customWidth="1"/>
    <col min="2" max="2" width="10.109375" customWidth="1"/>
    <col min="4" max="4" width="25.44140625" style="29" customWidth="1"/>
    <col min="5" max="5" width="76.88671875" style="29" customWidth="1"/>
    <col min="6" max="6" width="12.5546875" customWidth="1"/>
    <col min="7" max="7" width="1.88671875" customWidth="1"/>
    <col min="8" max="8" width="3.6640625" customWidth="1"/>
    <col min="9" max="9" width="5.33203125" customWidth="1"/>
    <col min="10" max="10" width="11.88671875" customWidth="1"/>
    <col min="11" max="11" width="6.5546875" customWidth="1"/>
    <col min="12" max="12" width="4" customWidth="1"/>
    <col min="13" max="13" width="1.88671875" customWidth="1"/>
    <col min="14" max="14" width="6.5546875" customWidth="1"/>
    <col min="15" max="15" width="12.6640625" customWidth="1"/>
    <col min="16" max="16" width="7" customWidth="1"/>
    <col min="17" max="17" width="3.6640625" customWidth="1"/>
    <col min="18" max="18" width="5.5546875" customWidth="1"/>
    <col min="19" max="19" width="12" customWidth="1"/>
    <col min="20" max="20" width="6.88671875" customWidth="1"/>
    <col min="21" max="21" width="3.6640625" customWidth="1"/>
    <col min="22" max="22" width="5.88671875" customWidth="1"/>
    <col min="23" max="23" width="12.88671875" customWidth="1"/>
    <col min="24" max="24" width="6.5546875" customWidth="1"/>
    <col min="25" max="61" width="3.6640625" customWidth="1"/>
  </cols>
  <sheetData>
    <row r="1" spans="1:24" ht="27.75" customHeight="1">
      <c r="A1" s="59"/>
      <c r="B1" s="59"/>
      <c r="C1" s="59"/>
      <c r="D1" s="60"/>
      <c r="E1" s="60"/>
      <c r="F1" s="59"/>
      <c r="G1" s="59"/>
      <c r="H1" s="162" t="s">
        <v>78</v>
      </c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4"/>
      <c r="X1" s="164"/>
    </row>
    <row r="2" spans="1:24" ht="9" customHeight="1">
      <c r="A2" s="59"/>
      <c r="B2" s="59"/>
      <c r="C2" s="59"/>
      <c r="D2" s="60"/>
      <c r="E2" s="60"/>
      <c r="F2" s="59"/>
      <c r="G2" s="59"/>
      <c r="H2" s="59"/>
      <c r="I2" s="59"/>
      <c r="J2" s="61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59"/>
      <c r="X2" s="59"/>
    </row>
    <row r="3" spans="1:24">
      <c r="A3" s="59"/>
      <c r="B3" s="59"/>
      <c r="C3" s="59"/>
      <c r="D3" s="62" t="s">
        <v>140</v>
      </c>
      <c r="E3" s="38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>
      <c r="A4" s="59"/>
      <c r="B4" s="59"/>
      <c r="C4" s="59"/>
      <c r="D4" s="62" t="s">
        <v>121</v>
      </c>
      <c r="E4" s="121"/>
      <c r="F4" s="59"/>
      <c r="G4" s="59"/>
      <c r="H4" s="59"/>
      <c r="I4" s="59"/>
      <c r="J4" s="59"/>
      <c r="K4" s="167" t="s">
        <v>341</v>
      </c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9"/>
      <c r="W4" s="59"/>
      <c r="X4" s="59"/>
    </row>
    <row r="5" spans="1:24">
      <c r="A5" s="59"/>
      <c r="B5" s="59"/>
      <c r="C5" s="59"/>
      <c r="D5" s="62" t="s">
        <v>141</v>
      </c>
      <c r="E5" s="121" t="s">
        <v>153</v>
      </c>
      <c r="F5" s="59"/>
      <c r="G5" s="59"/>
      <c r="H5" s="59"/>
      <c r="I5" s="59"/>
      <c r="J5" s="59"/>
      <c r="K5" s="127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9"/>
      <c r="W5" s="59"/>
      <c r="X5" s="59"/>
    </row>
    <row r="6" spans="1:24">
      <c r="A6" s="59"/>
      <c r="B6" s="59"/>
      <c r="C6" s="59"/>
      <c r="D6" s="62" t="s">
        <v>67</v>
      </c>
      <c r="E6" s="39"/>
      <c r="F6" s="59"/>
      <c r="G6" s="59"/>
      <c r="H6" s="59"/>
      <c r="I6" s="59"/>
      <c r="J6" s="59"/>
      <c r="K6" s="142"/>
      <c r="L6" s="171" t="s">
        <v>342</v>
      </c>
      <c r="M6" s="171"/>
      <c r="N6" s="171"/>
      <c r="O6" s="171"/>
      <c r="P6" s="171"/>
      <c r="Q6" s="171"/>
      <c r="R6" s="171"/>
      <c r="S6" s="171"/>
      <c r="T6" s="171"/>
      <c r="U6" s="171"/>
      <c r="V6" s="172"/>
      <c r="W6" s="59"/>
      <c r="X6" s="59"/>
    </row>
    <row r="7" spans="1:24" ht="43.5" customHeight="1">
      <c r="A7" s="59"/>
      <c r="B7" s="59"/>
      <c r="C7" s="59"/>
      <c r="D7" s="62" t="s">
        <v>14</v>
      </c>
      <c r="E7" s="38"/>
      <c r="F7" s="59"/>
      <c r="G7" s="59"/>
      <c r="H7" s="59"/>
      <c r="I7" s="59"/>
      <c r="J7" s="59"/>
      <c r="K7" s="63"/>
      <c r="L7" s="165" t="s">
        <v>292</v>
      </c>
      <c r="M7" s="165"/>
      <c r="N7" s="165"/>
      <c r="O7" s="165"/>
      <c r="P7" s="165"/>
      <c r="Q7" s="165"/>
      <c r="R7" s="165"/>
      <c r="S7" s="165"/>
      <c r="T7" s="165"/>
      <c r="U7" s="165"/>
      <c r="V7" s="166"/>
      <c r="W7" s="59"/>
      <c r="X7" s="59"/>
    </row>
    <row r="8" spans="1:24" ht="16.5" customHeight="1">
      <c r="A8" s="59"/>
      <c r="B8" s="59"/>
      <c r="C8" s="59"/>
      <c r="D8" s="64" t="s">
        <v>71</v>
      </c>
      <c r="E8" s="38"/>
      <c r="F8" s="59"/>
      <c r="G8" s="59"/>
      <c r="H8" s="59"/>
      <c r="I8" s="59"/>
      <c r="J8" s="59"/>
      <c r="K8" s="63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6"/>
      <c r="W8" s="59"/>
      <c r="X8" s="59"/>
    </row>
    <row r="9" spans="1:24" ht="16.5" customHeight="1" thickBot="1">
      <c r="A9" s="59"/>
      <c r="B9" s="59"/>
      <c r="C9" s="59"/>
      <c r="D9" s="64" t="s">
        <v>130</v>
      </c>
      <c r="E9" s="38"/>
      <c r="F9" s="59"/>
      <c r="G9" s="59"/>
      <c r="H9" s="59"/>
      <c r="I9" s="59"/>
      <c r="J9" s="59"/>
      <c r="K9" s="139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1"/>
      <c r="W9" s="59"/>
      <c r="X9" s="59"/>
    </row>
    <row r="10" spans="1:24" ht="15" customHeight="1">
      <c r="A10" s="59"/>
      <c r="B10" s="59"/>
      <c r="C10" s="59"/>
      <c r="D10" s="64" t="s">
        <v>74</v>
      </c>
      <c r="E10" s="38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</row>
    <row r="11" spans="1:24">
      <c r="A11" s="59"/>
      <c r="B11" s="59"/>
      <c r="C11" s="59"/>
      <c r="D11" s="64" t="s">
        <v>69</v>
      </c>
      <c r="E11" s="38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</row>
    <row r="12" spans="1:24">
      <c r="A12" s="59"/>
      <c r="B12" s="59"/>
      <c r="C12" s="59"/>
      <c r="D12" s="64" t="s">
        <v>148</v>
      </c>
      <c r="E12" s="38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</row>
    <row r="13" spans="1:24">
      <c r="A13" s="59"/>
      <c r="B13" s="59"/>
      <c r="C13" s="59"/>
      <c r="D13" s="64" t="s">
        <v>149</v>
      </c>
      <c r="E13" s="38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</row>
    <row r="14" spans="1:24">
      <c r="A14" s="59"/>
      <c r="B14" s="59"/>
      <c r="C14" s="59"/>
      <c r="D14" s="64" t="s">
        <v>68</v>
      </c>
      <c r="E14" s="38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</row>
    <row r="15" spans="1:24">
      <c r="A15" s="59"/>
      <c r="B15" s="59"/>
      <c r="C15" s="59"/>
      <c r="D15" s="64" t="s">
        <v>72</v>
      </c>
      <c r="E15" s="38" t="s">
        <v>3</v>
      </c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</row>
    <row r="16" spans="1:24">
      <c r="A16" s="59"/>
      <c r="B16" s="59"/>
      <c r="C16" s="59"/>
      <c r="D16" s="64" t="s">
        <v>85</v>
      </c>
      <c r="E16" s="38" t="str">
        <f>'508 Impact Guide &amp; Score Sheet'!C53</f>
        <v>None</v>
      </c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</row>
    <row r="17" spans="1:24" ht="22.5" customHeight="1">
      <c r="A17" s="59"/>
      <c r="B17" s="59"/>
      <c r="C17" s="59"/>
      <c r="D17" s="89" t="s">
        <v>75</v>
      </c>
      <c r="E17" s="66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</row>
    <row r="18" spans="1:24" ht="15" customHeight="1">
      <c r="A18" s="59"/>
      <c r="B18" s="59"/>
      <c r="C18" s="59"/>
      <c r="D18" s="64" t="s">
        <v>76</v>
      </c>
      <c r="E18" s="38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</row>
    <row r="19" spans="1:24">
      <c r="A19" s="59"/>
      <c r="B19" s="59"/>
      <c r="C19" s="59"/>
      <c r="D19" s="64" t="s">
        <v>77</v>
      </c>
      <c r="E19" s="38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</row>
    <row r="20" spans="1:24" ht="15" customHeight="1">
      <c r="A20" s="59"/>
      <c r="B20" s="59"/>
      <c r="C20" s="59"/>
      <c r="D20" s="64" t="s">
        <v>152</v>
      </c>
      <c r="E20" s="40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</row>
    <row r="21" spans="1:24" ht="15" customHeight="1">
      <c r="A21" s="59"/>
      <c r="B21" s="59"/>
      <c r="C21" s="59"/>
      <c r="D21" s="64" t="s">
        <v>81</v>
      </c>
      <c r="E21" s="40" t="s">
        <v>3</v>
      </c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</row>
    <row r="22" spans="1:24">
      <c r="A22" s="59"/>
      <c r="B22" s="59"/>
      <c r="C22" s="67"/>
      <c r="D22" s="68"/>
      <c r="E22" s="69"/>
      <c r="F22" s="67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</row>
    <row r="23" spans="1:24">
      <c r="A23" s="59"/>
      <c r="B23" s="59"/>
      <c r="C23" s="59"/>
      <c r="D23" s="62" t="s">
        <v>70</v>
      </c>
      <c r="E23" s="38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</row>
    <row r="24" spans="1:24">
      <c r="A24" s="70"/>
      <c r="B24" s="59"/>
      <c r="C24" s="59"/>
      <c r="D24" s="65"/>
      <c r="E24" s="66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</row>
    <row r="25" spans="1:24" ht="252.75" customHeight="1">
      <c r="A25" s="59"/>
      <c r="B25" s="59"/>
      <c r="C25" s="59"/>
      <c r="D25" s="160" t="s">
        <v>131</v>
      </c>
      <c r="E25" s="161"/>
      <c r="F25" s="59"/>
      <c r="G25" s="59"/>
      <c r="H25" s="59"/>
      <c r="I25" s="59"/>
      <c r="J25" s="59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59"/>
      <c r="X25" s="59"/>
    </row>
    <row r="26" spans="1:24" ht="9" customHeight="1">
      <c r="A26" s="59"/>
      <c r="B26" s="59"/>
      <c r="C26" s="59"/>
      <c r="D26" s="72"/>
      <c r="E26" s="72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</row>
    <row r="27" spans="1:24" ht="28.5" customHeight="1">
      <c r="A27" s="73" t="s">
        <v>79</v>
      </c>
      <c r="B27" s="73" t="s">
        <v>216</v>
      </c>
      <c r="C27" s="73" t="s">
        <v>278</v>
      </c>
      <c r="D27" s="73" t="s">
        <v>343</v>
      </c>
      <c r="E27" s="73" t="s">
        <v>73</v>
      </c>
      <c r="F27" s="73" t="s">
        <v>80</v>
      </c>
      <c r="G27" s="59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</row>
    <row r="28" spans="1:24">
      <c r="A28" s="35"/>
      <c r="B28" s="35"/>
      <c r="C28" s="35"/>
      <c r="D28" s="35"/>
      <c r="E28" s="35"/>
      <c r="F28" s="35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</row>
    <row r="29" spans="1:24">
      <c r="A29" s="35"/>
      <c r="B29" s="35"/>
      <c r="C29" s="35"/>
      <c r="D29" s="35"/>
      <c r="E29" s="35"/>
      <c r="F29" s="35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</row>
    <row r="30" spans="1:24">
      <c r="A30" s="35"/>
      <c r="B30" s="35"/>
      <c r="C30" s="35"/>
      <c r="D30" s="35"/>
      <c r="E30" s="35"/>
      <c r="F30" s="35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</row>
    <row r="31" spans="1:24">
      <c r="A31" s="35"/>
      <c r="B31" s="35"/>
      <c r="C31" s="35"/>
      <c r="D31" s="35"/>
      <c r="E31" s="35"/>
      <c r="F31" s="35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</row>
    <row r="32" spans="1:24">
      <c r="A32" s="35"/>
      <c r="B32" s="35"/>
      <c r="C32" s="35"/>
      <c r="D32" s="35"/>
      <c r="E32" s="35"/>
      <c r="F32" s="35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</row>
    <row r="33" spans="4:24">
      <c r="D33"/>
      <c r="E33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</row>
    <row r="34" spans="4:24">
      <c r="D34"/>
      <c r="E34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</row>
    <row r="35" spans="4:24">
      <c r="D35"/>
      <c r="E35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</row>
    <row r="36" spans="4:24">
      <c r="D36"/>
      <c r="E36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</row>
    <row r="37" spans="4:24">
      <c r="D37"/>
      <c r="E37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</row>
    <row r="38" spans="4:24">
      <c r="D38"/>
      <c r="E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</row>
    <row r="39" spans="4:24">
      <c r="D39"/>
      <c r="E39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</row>
    <row r="40" spans="4:24">
      <c r="D40"/>
      <c r="E40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</row>
    <row r="41" spans="4:24">
      <c r="D41"/>
      <c r="E41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</row>
    <row r="42" spans="4:24">
      <c r="D42"/>
      <c r="E42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</row>
    <row r="43" spans="4:24">
      <c r="D43"/>
      <c r="E43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</row>
    <row r="44" spans="4:24" ht="33" customHeight="1">
      <c r="D44"/>
      <c r="E44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</row>
    <row r="45" spans="4:24">
      <c r="D45"/>
      <c r="E45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</row>
    <row r="46" spans="4:24">
      <c r="D46"/>
      <c r="E46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</row>
    <row r="47" spans="4:24">
      <c r="D47"/>
      <c r="E47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</row>
    <row r="48" spans="4:24">
      <c r="D48"/>
      <c r="E4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</row>
    <row r="49" spans="1:24">
      <c r="D49"/>
      <c r="E49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</row>
    <row r="50" spans="1:24">
      <c r="D50"/>
      <c r="E50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</row>
    <row r="51" spans="1:24">
      <c r="A51" s="3"/>
      <c r="B51" s="3"/>
      <c r="C51" s="3"/>
      <c r="D51" s="49"/>
      <c r="E51" s="49"/>
      <c r="F51" s="3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</row>
    <row r="52" spans="1:24" ht="34.5" customHeight="1">
      <c r="A52" s="3"/>
      <c r="B52" s="3"/>
      <c r="C52" s="3"/>
      <c r="D52" s="49"/>
      <c r="E52" s="49"/>
      <c r="F52" s="3"/>
      <c r="H52" s="138"/>
      <c r="I52" s="138"/>
    </row>
    <row r="53" spans="1:24">
      <c r="A53" s="3"/>
      <c r="B53" s="3"/>
      <c r="C53" s="3"/>
      <c r="D53" s="49"/>
      <c r="E53" s="49"/>
      <c r="F53" s="3"/>
      <c r="H53" s="138"/>
      <c r="I53" s="138"/>
    </row>
    <row r="54" spans="1:24">
      <c r="A54" s="3"/>
      <c r="B54" s="3"/>
      <c r="C54" s="3"/>
      <c r="D54" s="49"/>
      <c r="E54" s="49"/>
      <c r="F54" s="3"/>
      <c r="H54" s="138"/>
      <c r="I54" s="138"/>
    </row>
    <row r="55" spans="1:24">
      <c r="A55" s="3"/>
      <c r="B55" s="3"/>
      <c r="C55" s="3"/>
      <c r="D55" s="49"/>
      <c r="E55" s="49"/>
      <c r="F55" s="3"/>
    </row>
    <row r="56" spans="1:24" ht="30" customHeight="1">
      <c r="A56" s="3"/>
      <c r="B56" s="3"/>
      <c r="C56" s="3"/>
      <c r="D56" s="49"/>
      <c r="E56" s="49"/>
      <c r="F56" s="3"/>
    </row>
    <row r="57" spans="1:24">
      <c r="A57" s="3"/>
      <c r="B57" s="3"/>
      <c r="C57" s="3"/>
      <c r="D57" s="49"/>
      <c r="E57" s="49"/>
      <c r="F57" s="3"/>
    </row>
    <row r="58" spans="1:24">
      <c r="A58" s="3"/>
      <c r="B58" s="3"/>
      <c r="C58" s="3"/>
      <c r="D58" s="49"/>
      <c r="E58" s="49"/>
      <c r="F58" s="3"/>
    </row>
    <row r="59" spans="1:24">
      <c r="A59" s="3"/>
      <c r="B59" s="3"/>
      <c r="C59" s="3"/>
      <c r="D59" s="49"/>
      <c r="E59" s="49"/>
      <c r="F59" s="3"/>
    </row>
    <row r="60" spans="1:24">
      <c r="A60" s="3"/>
      <c r="B60" s="3"/>
      <c r="C60" s="3"/>
      <c r="D60" s="49"/>
      <c r="E60" s="49"/>
      <c r="F60" s="3"/>
    </row>
    <row r="61" spans="1:24">
      <c r="A61" s="3"/>
      <c r="B61" s="3"/>
      <c r="C61" s="3"/>
      <c r="D61" s="49"/>
      <c r="E61" s="49"/>
      <c r="F61" s="3"/>
    </row>
    <row r="62" spans="1:24">
      <c r="A62" s="3"/>
      <c r="B62" s="3"/>
      <c r="C62" s="3"/>
      <c r="D62" s="49"/>
      <c r="E62" s="49"/>
      <c r="F62" s="3"/>
    </row>
    <row r="63" spans="1:24">
      <c r="A63" s="3"/>
      <c r="B63" s="3"/>
      <c r="C63" s="3"/>
      <c r="D63" s="49"/>
      <c r="E63" s="49"/>
      <c r="F63" s="3"/>
    </row>
    <row r="64" spans="1:24">
      <c r="A64" s="3"/>
      <c r="B64" s="3"/>
      <c r="C64" s="3"/>
      <c r="D64" s="49"/>
      <c r="E64" s="49"/>
      <c r="F64" s="3"/>
    </row>
    <row r="65" spans="1:6">
      <c r="A65" s="3"/>
      <c r="B65" s="3"/>
      <c r="C65" s="3"/>
      <c r="D65" s="49"/>
      <c r="E65" s="49"/>
      <c r="F65" s="3"/>
    </row>
    <row r="66" spans="1:6">
      <c r="A66" s="3"/>
      <c r="B66" s="3"/>
      <c r="C66" s="3"/>
      <c r="D66" s="49"/>
      <c r="E66" s="49"/>
      <c r="F66" s="3"/>
    </row>
    <row r="67" spans="1:6">
      <c r="A67" s="3"/>
      <c r="B67" s="3"/>
      <c r="C67" s="3"/>
      <c r="D67" s="49"/>
      <c r="E67" s="49"/>
      <c r="F67" s="3"/>
    </row>
    <row r="68" spans="1:6">
      <c r="A68" s="3"/>
      <c r="B68" s="3"/>
      <c r="C68" s="3"/>
      <c r="D68" s="49"/>
      <c r="E68" s="49"/>
      <c r="F68" s="3"/>
    </row>
    <row r="69" spans="1:6">
      <c r="A69" s="3"/>
      <c r="B69" s="3"/>
      <c r="C69" s="3"/>
      <c r="D69" s="49"/>
      <c r="E69" s="49"/>
      <c r="F69" s="3"/>
    </row>
    <row r="70" spans="1:6">
      <c r="A70" s="3"/>
      <c r="B70" s="3"/>
      <c r="C70" s="3"/>
      <c r="D70" s="49"/>
      <c r="E70" s="49"/>
      <c r="F70" s="3"/>
    </row>
    <row r="71" spans="1:6">
      <c r="A71" s="3"/>
      <c r="B71" s="3"/>
      <c r="C71" s="3"/>
      <c r="D71" s="49"/>
      <c r="E71" s="49"/>
      <c r="F71" s="3"/>
    </row>
    <row r="72" spans="1:6">
      <c r="A72" s="3"/>
      <c r="B72" s="3"/>
      <c r="C72" s="3"/>
      <c r="D72" s="49"/>
      <c r="E72" s="49"/>
      <c r="F72" s="3"/>
    </row>
    <row r="73" spans="1:6">
      <c r="A73" s="3"/>
      <c r="B73" s="3"/>
      <c r="C73" s="3"/>
      <c r="D73" s="49"/>
      <c r="E73" s="49"/>
      <c r="F73" s="3"/>
    </row>
    <row r="74" spans="1:6">
      <c r="A74" s="3"/>
      <c r="B74" s="3"/>
      <c r="C74" s="3"/>
      <c r="D74" s="49"/>
      <c r="E74" s="49"/>
      <c r="F74" s="3"/>
    </row>
    <row r="75" spans="1:6">
      <c r="A75" s="3"/>
      <c r="B75" s="3"/>
      <c r="C75" s="3"/>
      <c r="D75" s="49"/>
      <c r="E75" s="49"/>
      <c r="F75" s="3"/>
    </row>
    <row r="76" spans="1:6">
      <c r="A76" s="3"/>
      <c r="B76" s="3"/>
      <c r="C76" s="3"/>
      <c r="D76" s="49"/>
      <c r="E76" s="49"/>
      <c r="F76" s="3"/>
    </row>
    <row r="77" spans="1:6">
      <c r="A77" s="3"/>
      <c r="B77" s="3"/>
      <c r="C77" s="3"/>
      <c r="D77" s="49"/>
      <c r="E77" s="49"/>
      <c r="F77" s="3"/>
    </row>
    <row r="78" spans="1:6">
      <c r="A78" s="3"/>
      <c r="B78" s="3"/>
      <c r="C78" s="3"/>
      <c r="D78" s="49"/>
      <c r="E78" s="49"/>
      <c r="F78" s="3"/>
    </row>
    <row r="79" spans="1:6">
      <c r="A79" s="3"/>
      <c r="B79" s="3"/>
      <c r="C79" s="3"/>
      <c r="D79" s="49"/>
      <c r="E79" s="49"/>
      <c r="F79" s="3"/>
    </row>
    <row r="80" spans="1:6">
      <c r="A80" s="3"/>
      <c r="B80" s="3"/>
      <c r="C80" s="3"/>
      <c r="D80" s="49"/>
      <c r="E80" s="49"/>
      <c r="F80" s="3"/>
    </row>
    <row r="81" spans="1:6">
      <c r="A81" s="3"/>
      <c r="B81" s="3"/>
      <c r="C81" s="3"/>
      <c r="D81" s="49"/>
      <c r="E81" s="49"/>
      <c r="F81" s="3"/>
    </row>
    <row r="82" spans="1:6">
      <c r="A82" s="3"/>
      <c r="B82" s="3"/>
      <c r="C82" s="3"/>
      <c r="D82" s="49"/>
      <c r="E82" s="49"/>
      <c r="F82" s="3"/>
    </row>
    <row r="83" spans="1:6">
      <c r="A83" s="3"/>
      <c r="B83" s="3"/>
      <c r="C83" s="3"/>
      <c r="D83" s="49"/>
      <c r="E83" s="49"/>
      <c r="F83" s="3"/>
    </row>
    <row r="84" spans="1:6">
      <c r="A84" s="3"/>
      <c r="B84" s="3"/>
      <c r="C84" s="3"/>
      <c r="D84" s="49"/>
      <c r="E84" s="49"/>
      <c r="F84" s="3"/>
    </row>
    <row r="85" spans="1:6">
      <c r="A85" s="3"/>
      <c r="B85" s="3"/>
      <c r="C85" s="3"/>
      <c r="D85" s="49"/>
      <c r="E85" s="49"/>
      <c r="F85" s="3"/>
    </row>
    <row r="86" spans="1:6">
      <c r="A86" s="3"/>
      <c r="B86" s="3"/>
      <c r="C86" s="3"/>
      <c r="D86" s="49"/>
      <c r="E86" s="49"/>
      <c r="F86" s="3"/>
    </row>
    <row r="87" spans="1:6">
      <c r="A87" s="3"/>
      <c r="B87" s="3"/>
      <c r="C87" s="3"/>
      <c r="D87" s="49"/>
      <c r="E87" s="49"/>
      <c r="F87" s="3"/>
    </row>
    <row r="88" spans="1:6">
      <c r="A88" s="3"/>
      <c r="B88" s="3"/>
      <c r="C88" s="3"/>
      <c r="D88" s="49"/>
      <c r="E88" s="49"/>
      <c r="F88" s="3"/>
    </row>
    <row r="89" spans="1:6">
      <c r="A89" s="3"/>
      <c r="B89" s="3"/>
      <c r="C89" s="3"/>
      <c r="D89" s="49"/>
      <c r="E89" s="49"/>
      <c r="F89" s="3"/>
    </row>
    <row r="90" spans="1:6">
      <c r="A90" s="3"/>
      <c r="B90" s="3"/>
      <c r="C90" s="3"/>
      <c r="D90" s="49"/>
      <c r="E90" s="49"/>
      <c r="F90" s="3"/>
    </row>
    <row r="91" spans="1:6">
      <c r="A91" s="3"/>
      <c r="B91" s="3"/>
      <c r="C91" s="3"/>
      <c r="D91" s="49"/>
      <c r="E91" s="49"/>
      <c r="F91" s="3"/>
    </row>
    <row r="92" spans="1:6">
      <c r="A92" s="3"/>
      <c r="B92" s="3"/>
      <c r="C92" s="3"/>
      <c r="D92" s="49"/>
      <c r="E92" s="49"/>
      <c r="F92" s="3"/>
    </row>
    <row r="93" spans="1:6">
      <c r="A93" s="3"/>
      <c r="B93" s="3"/>
      <c r="C93" s="3"/>
      <c r="D93" s="49"/>
      <c r="E93" s="49"/>
      <c r="F93" s="3"/>
    </row>
    <row r="94" spans="1:6">
      <c r="A94" s="3"/>
      <c r="B94" s="3"/>
      <c r="C94" s="3"/>
      <c r="D94" s="49"/>
      <c r="E94" s="49"/>
      <c r="F94" s="3"/>
    </row>
    <row r="95" spans="1:6">
      <c r="A95" s="3"/>
      <c r="B95" s="3"/>
      <c r="C95" s="3"/>
      <c r="D95" s="49"/>
      <c r="E95" s="49"/>
      <c r="F95" s="3"/>
    </row>
    <row r="96" spans="1:6">
      <c r="A96" s="3"/>
      <c r="B96" s="3"/>
      <c r="C96" s="3"/>
      <c r="D96" s="49"/>
      <c r="E96" s="49"/>
      <c r="F96" s="3"/>
    </row>
    <row r="97" spans="1:6">
      <c r="A97" s="3"/>
      <c r="B97" s="3"/>
      <c r="C97" s="3"/>
      <c r="D97" s="49"/>
      <c r="E97" s="49"/>
      <c r="F97" s="3"/>
    </row>
    <row r="98" spans="1:6">
      <c r="A98" s="3"/>
      <c r="B98" s="3"/>
      <c r="C98" s="3"/>
      <c r="D98" s="49"/>
      <c r="E98" s="49"/>
      <c r="F98" s="3"/>
    </row>
    <row r="99" spans="1:6">
      <c r="A99" s="3"/>
      <c r="B99" s="3"/>
      <c r="C99" s="3"/>
      <c r="D99" s="49"/>
      <c r="E99" s="49"/>
      <c r="F99" s="3"/>
    </row>
    <row r="100" spans="1:6">
      <c r="A100" s="3"/>
      <c r="B100" s="3"/>
      <c r="C100" s="3"/>
      <c r="D100" s="49"/>
      <c r="E100" s="49"/>
      <c r="F100" s="3"/>
    </row>
    <row r="101" spans="1:6">
      <c r="A101" s="3"/>
      <c r="B101" s="3"/>
      <c r="C101" s="3"/>
      <c r="D101" s="49"/>
      <c r="E101" s="49"/>
      <c r="F101" s="3"/>
    </row>
    <row r="102" spans="1:6">
      <c r="A102" s="3"/>
      <c r="B102" s="3"/>
      <c r="C102" s="3"/>
      <c r="D102" s="49"/>
      <c r="E102" s="49"/>
      <c r="F102" s="3"/>
    </row>
    <row r="103" spans="1:6">
      <c r="A103" s="3"/>
      <c r="B103" s="3"/>
      <c r="C103" s="3"/>
      <c r="D103" s="49"/>
      <c r="E103" s="49"/>
      <c r="F103" s="3"/>
    </row>
    <row r="104" spans="1:6">
      <c r="A104" s="3"/>
      <c r="B104" s="3"/>
      <c r="C104" s="3"/>
      <c r="D104" s="49"/>
      <c r="E104" s="49"/>
      <c r="F104" s="3"/>
    </row>
    <row r="105" spans="1:6">
      <c r="A105" s="3"/>
      <c r="B105" s="3"/>
      <c r="C105" s="3"/>
      <c r="D105" s="49"/>
      <c r="E105" s="49"/>
      <c r="F105" s="3"/>
    </row>
    <row r="106" spans="1:6">
      <c r="A106" s="3"/>
      <c r="B106" s="3"/>
      <c r="C106" s="3"/>
      <c r="D106" s="49"/>
      <c r="E106" s="49"/>
      <c r="F106" s="3"/>
    </row>
    <row r="107" spans="1:6">
      <c r="A107" s="3"/>
      <c r="B107" s="3"/>
      <c r="C107" s="3"/>
      <c r="D107" s="49"/>
      <c r="E107" s="49"/>
      <c r="F107" s="3"/>
    </row>
    <row r="108" spans="1:6">
      <c r="A108" s="3"/>
      <c r="B108" s="3"/>
      <c r="C108" s="3"/>
      <c r="D108" s="49"/>
      <c r="E108" s="49"/>
      <c r="F108" s="3"/>
    </row>
    <row r="109" spans="1:6">
      <c r="A109" s="3"/>
      <c r="B109" s="3"/>
      <c r="C109" s="3"/>
      <c r="D109" s="49"/>
      <c r="E109" s="49"/>
      <c r="F109" s="3"/>
    </row>
    <row r="110" spans="1:6">
      <c r="A110" s="3"/>
      <c r="B110" s="3"/>
      <c r="C110" s="3"/>
      <c r="D110" s="49"/>
      <c r="E110" s="49"/>
      <c r="F110" s="3"/>
    </row>
    <row r="111" spans="1:6">
      <c r="A111" s="3"/>
      <c r="B111" s="3"/>
      <c r="C111" s="3"/>
      <c r="D111" s="49"/>
      <c r="E111" s="49"/>
      <c r="F111" s="3"/>
    </row>
    <row r="112" spans="1:6">
      <c r="A112" s="3"/>
      <c r="B112" s="3"/>
      <c r="C112" s="3"/>
      <c r="D112" s="49"/>
      <c r="E112" s="49"/>
      <c r="F112" s="3"/>
    </row>
    <row r="113" spans="1:6">
      <c r="A113" s="3"/>
      <c r="B113" s="3"/>
      <c r="C113" s="3"/>
      <c r="D113" s="49"/>
      <c r="E113" s="49"/>
      <c r="F113" s="3"/>
    </row>
    <row r="114" spans="1:6">
      <c r="A114" s="3"/>
      <c r="B114" s="3"/>
      <c r="C114" s="3"/>
      <c r="D114" s="49"/>
      <c r="E114" s="49"/>
      <c r="F114" s="3"/>
    </row>
    <row r="115" spans="1:6">
      <c r="A115" s="3"/>
      <c r="B115" s="3"/>
      <c r="C115" s="3"/>
      <c r="D115" s="49"/>
      <c r="E115" s="49"/>
      <c r="F115" s="3"/>
    </row>
    <row r="116" spans="1:6">
      <c r="A116" s="3"/>
      <c r="B116" s="3"/>
      <c r="C116" s="3"/>
      <c r="D116" s="49"/>
      <c r="E116" s="49"/>
      <c r="F116" s="3"/>
    </row>
    <row r="117" spans="1:6">
      <c r="A117" s="3"/>
      <c r="B117" s="3"/>
      <c r="C117" s="3"/>
      <c r="D117" s="49"/>
      <c r="E117" s="49"/>
      <c r="F117" s="3"/>
    </row>
    <row r="118" spans="1:6">
      <c r="A118" s="3"/>
      <c r="B118" s="3"/>
      <c r="C118" s="3"/>
      <c r="D118" s="49"/>
      <c r="E118" s="49"/>
      <c r="F118" s="3"/>
    </row>
    <row r="119" spans="1:6">
      <c r="A119" s="3"/>
      <c r="B119" s="3"/>
      <c r="C119" s="3"/>
      <c r="D119" s="49"/>
      <c r="E119" s="49"/>
      <c r="F119" s="3"/>
    </row>
    <row r="120" spans="1:6">
      <c r="A120" s="3"/>
      <c r="B120" s="3"/>
      <c r="C120" s="3"/>
      <c r="D120" s="49"/>
      <c r="E120" s="49"/>
      <c r="F120" s="3"/>
    </row>
    <row r="121" spans="1:6">
      <c r="A121" s="3"/>
      <c r="B121" s="3"/>
      <c r="C121" s="3"/>
      <c r="D121" s="49"/>
      <c r="E121" s="49"/>
      <c r="F121" s="3"/>
    </row>
    <row r="122" spans="1:6">
      <c r="A122" s="3"/>
      <c r="B122" s="3"/>
      <c r="C122" s="3"/>
      <c r="D122" s="49"/>
      <c r="E122" s="49"/>
      <c r="F122" s="3"/>
    </row>
    <row r="123" spans="1:6">
      <c r="A123" s="3"/>
      <c r="B123" s="3"/>
      <c r="C123" s="3"/>
      <c r="D123" s="49"/>
      <c r="E123" s="49"/>
      <c r="F123" s="3"/>
    </row>
    <row r="124" spans="1:6">
      <c r="A124" s="3"/>
      <c r="B124" s="3"/>
      <c r="C124" s="3"/>
      <c r="D124" s="49"/>
      <c r="E124" s="49"/>
      <c r="F124" s="3"/>
    </row>
    <row r="125" spans="1:6">
      <c r="A125" s="3"/>
      <c r="B125" s="3"/>
      <c r="C125" s="3"/>
      <c r="D125" s="49"/>
      <c r="E125" s="49"/>
      <c r="F125" s="3"/>
    </row>
    <row r="126" spans="1:6">
      <c r="A126" s="3"/>
      <c r="B126" s="3"/>
      <c r="C126" s="3"/>
      <c r="D126" s="49"/>
      <c r="E126" s="49"/>
      <c r="F126" s="3"/>
    </row>
    <row r="127" spans="1:6">
      <c r="A127" s="3"/>
      <c r="B127" s="3"/>
      <c r="C127" s="3"/>
      <c r="D127" s="49"/>
      <c r="E127" s="49"/>
      <c r="F127" s="3"/>
    </row>
    <row r="128" spans="1:6">
      <c r="A128" s="3"/>
      <c r="B128" s="3"/>
      <c r="C128" s="3"/>
      <c r="D128" s="49"/>
      <c r="E128" s="49"/>
      <c r="F128" s="3"/>
    </row>
    <row r="129" spans="1:6">
      <c r="A129" s="3"/>
      <c r="B129" s="3"/>
      <c r="C129" s="3"/>
      <c r="D129" s="49"/>
      <c r="E129" s="49"/>
      <c r="F129" s="3"/>
    </row>
    <row r="130" spans="1:6">
      <c r="A130" s="3"/>
      <c r="B130" s="3"/>
      <c r="C130" s="3"/>
      <c r="D130" s="49"/>
      <c r="E130" s="49"/>
      <c r="F130" s="3"/>
    </row>
    <row r="131" spans="1:6">
      <c r="A131" s="3"/>
      <c r="B131" s="3"/>
      <c r="C131" s="3"/>
      <c r="D131" s="49"/>
      <c r="E131" s="49"/>
      <c r="F131" s="3"/>
    </row>
    <row r="132" spans="1:6">
      <c r="A132" s="3"/>
      <c r="B132" s="3"/>
      <c r="C132" s="3"/>
      <c r="D132" s="49"/>
      <c r="E132" s="49"/>
      <c r="F132" s="3"/>
    </row>
    <row r="133" spans="1:6">
      <c r="A133" s="3"/>
      <c r="B133" s="3"/>
      <c r="C133" s="3"/>
      <c r="D133" s="49"/>
      <c r="E133" s="49"/>
      <c r="F133" s="3"/>
    </row>
    <row r="134" spans="1:6">
      <c r="A134" s="3"/>
      <c r="B134" s="3"/>
      <c r="C134" s="3"/>
      <c r="D134" s="49"/>
      <c r="E134" s="49"/>
      <c r="F134" s="3"/>
    </row>
    <row r="135" spans="1:6">
      <c r="A135" s="3"/>
      <c r="B135" s="3"/>
      <c r="C135" s="3"/>
      <c r="D135" s="49"/>
      <c r="E135" s="49"/>
      <c r="F135" s="3"/>
    </row>
    <row r="136" spans="1:6">
      <c r="A136" s="3"/>
      <c r="B136" s="3"/>
      <c r="C136" s="3"/>
      <c r="D136" s="49"/>
      <c r="E136" s="49"/>
      <c r="F136" s="3"/>
    </row>
    <row r="137" spans="1:6">
      <c r="A137" s="3"/>
      <c r="B137" s="3"/>
      <c r="C137" s="3"/>
      <c r="D137" s="49"/>
      <c r="E137" s="49"/>
      <c r="F137" s="3"/>
    </row>
    <row r="138" spans="1:6">
      <c r="A138" s="3"/>
      <c r="B138" s="3"/>
      <c r="C138" s="3"/>
      <c r="D138" s="49"/>
      <c r="E138" s="49"/>
      <c r="F138" s="3"/>
    </row>
    <row r="139" spans="1:6">
      <c r="A139" s="3"/>
      <c r="B139" s="3"/>
      <c r="C139" s="3"/>
      <c r="D139" s="49"/>
      <c r="E139" s="49"/>
      <c r="F139" s="3"/>
    </row>
    <row r="140" spans="1:6">
      <c r="A140" s="3"/>
      <c r="B140" s="3"/>
      <c r="C140" s="3"/>
      <c r="D140" s="49"/>
      <c r="E140" s="49"/>
      <c r="F140" s="3"/>
    </row>
    <row r="141" spans="1:6">
      <c r="A141" s="3"/>
      <c r="B141" s="3"/>
      <c r="C141" s="3"/>
      <c r="D141" s="49"/>
      <c r="E141" s="49"/>
      <c r="F141" s="3"/>
    </row>
    <row r="142" spans="1:6">
      <c r="A142" s="3"/>
      <c r="B142" s="3"/>
      <c r="C142" s="3"/>
      <c r="D142" s="49"/>
      <c r="E142" s="49"/>
      <c r="F142" s="3"/>
    </row>
    <row r="143" spans="1:6">
      <c r="A143" s="3"/>
      <c r="B143" s="3"/>
      <c r="C143" s="3"/>
      <c r="D143" s="49"/>
      <c r="E143" s="49"/>
      <c r="F143" s="3"/>
    </row>
    <row r="144" spans="1:6">
      <c r="A144" s="3"/>
      <c r="B144" s="3"/>
      <c r="C144" s="3"/>
      <c r="D144" s="49"/>
      <c r="E144" s="49"/>
      <c r="F144" s="3"/>
    </row>
    <row r="145" spans="1:6">
      <c r="A145" s="3"/>
      <c r="B145" s="3"/>
      <c r="C145" s="3"/>
      <c r="D145" s="49"/>
      <c r="E145" s="49"/>
      <c r="F145" s="3"/>
    </row>
    <row r="146" spans="1:6">
      <c r="A146" s="3"/>
      <c r="B146" s="3"/>
      <c r="C146" s="3"/>
      <c r="D146" s="49"/>
      <c r="E146" s="49"/>
      <c r="F146" s="3"/>
    </row>
    <row r="147" spans="1:6">
      <c r="A147" s="3"/>
      <c r="B147" s="3"/>
      <c r="C147" s="3"/>
      <c r="D147" s="49"/>
      <c r="E147" s="49"/>
      <c r="F147" s="3"/>
    </row>
    <row r="148" spans="1:6">
      <c r="A148" s="3"/>
      <c r="B148" s="3"/>
      <c r="C148" s="3"/>
      <c r="D148" s="49"/>
      <c r="E148" s="49"/>
      <c r="F148" s="3"/>
    </row>
    <row r="149" spans="1:6">
      <c r="A149" s="3"/>
      <c r="B149" s="3"/>
      <c r="C149" s="3"/>
      <c r="D149" s="49"/>
      <c r="E149" s="49"/>
      <c r="F149" s="3"/>
    </row>
    <row r="150" spans="1:6">
      <c r="A150" s="3"/>
      <c r="B150" s="3"/>
      <c r="C150" s="3"/>
      <c r="D150" s="49"/>
      <c r="E150" s="49"/>
      <c r="F150" s="3"/>
    </row>
    <row r="151" spans="1:6">
      <c r="A151" s="3"/>
      <c r="B151" s="3"/>
      <c r="C151" s="3"/>
      <c r="D151" s="49"/>
      <c r="E151" s="49"/>
      <c r="F151" s="3"/>
    </row>
  </sheetData>
  <sheetProtection sheet="1" objects="1" scenarios="1"/>
  <mergeCells count="7">
    <mergeCell ref="D25:E25"/>
    <mergeCell ref="H1:X1"/>
    <mergeCell ref="L8:V8"/>
    <mergeCell ref="K4:V4"/>
    <mergeCell ref="K2:V2"/>
    <mergeCell ref="L7:V7"/>
    <mergeCell ref="L6:V6"/>
  </mergeCells>
  <dataValidations count="5">
    <dataValidation type="list" allowBlank="1" showInputMessage="1" showErrorMessage="1" sqref="E12">
      <formula1>IF(E5="TT4",JavaFlashResponses,NoResponses)</formula1>
    </dataValidation>
    <dataValidation type="list" allowBlank="1" showInputMessage="1" showErrorMessage="1" sqref="E19">
      <formula1>IF(E5="TT4",TT4_Browsers,TT3_Browsers)</formula1>
    </dataValidation>
    <dataValidation type="list" allowBlank="1" showInputMessage="1" showErrorMessage="1" sqref="E18">
      <formula1>IF(E5="TT4",TT4_OS,TT3_OS)</formula1>
    </dataValidation>
    <dataValidation type="list" allowBlank="1" showInputMessage="1" showErrorMessage="1" sqref="E13">
      <formula1>IF(E5="TT4",JavaFlashResponses,NoResponses)</formula1>
    </dataValidation>
    <dataValidation type="list" allowBlank="1" showInputMessage="1" showErrorMessage="1" sqref="E22">
      <formula1>#REF!</formula1>
    </dataValidation>
  </dataValidations>
  <printOptions horizontalCentered="1"/>
  <pageMargins left="0.7" right="0.7" top="0.75" bottom="0.75" header="0.3" footer="0.3"/>
  <pageSetup scale="76" fitToHeight="10" orientation="landscape" r:id="rId1"/>
  <headerFooter>
    <oddHeader>&amp;CDHS Section 508 Compliance Application Report</oddHeader>
    <oddFooter>&amp;R&amp;P of &amp;N</oddFooter>
  </headerFooter>
  <rowBreaks count="2" manualBreakCount="2">
    <brk id="26" max="16383" man="1"/>
    <brk id="51" max="23" man="1"/>
  </rowBreaks>
  <colBreaks count="1" manualBreakCount="1">
    <brk id="7" max="5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8" r:id="rId4" name="Button 1052">
              <controlPr locked="0" defaultSize="0" print="0" autoFill="0" autoLine="0" autoPict="0" macro="[0]!Summarize">
                <anchor moveWithCells="1" sizeWithCells="1">
                  <from>
                    <xdr:col>4</xdr:col>
                    <xdr:colOff>304800</xdr:colOff>
                    <xdr:row>0</xdr:row>
                    <xdr:rowOff>45720</xdr:rowOff>
                  </from>
                  <to>
                    <xdr:col>4</xdr:col>
                    <xdr:colOff>4366260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Lists!$E$13:$E$15</xm:f>
          </x14:formula1>
          <xm:sqref>E15</xm:sqref>
        </x14:dataValidation>
        <x14:dataValidation type="list" allowBlank="1" showInputMessage="1" showErrorMessage="1">
          <x14:formula1>
            <xm:f>Lists!$G$13:$G$16</xm:f>
          </x14:formula1>
          <xm:sqref>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G59"/>
  <sheetViews>
    <sheetView zoomScalePageLayoutView="80" workbookViewId="0">
      <selection activeCell="A41" sqref="A41"/>
    </sheetView>
  </sheetViews>
  <sheetFormatPr defaultColWidth="9.109375" defaultRowHeight="15"/>
  <cols>
    <col min="1" max="1" width="56.44140625" style="28" customWidth="1"/>
    <col min="2" max="2" width="10" style="28" customWidth="1"/>
    <col min="3" max="4" width="9.109375" style="28" customWidth="1"/>
    <col min="5" max="5" width="10.44140625" style="28" customWidth="1"/>
    <col min="6" max="6" width="10.88671875" style="28" customWidth="1"/>
    <col min="7" max="7" width="8.5546875" style="28" customWidth="1"/>
    <col min="8" max="9" width="9.109375" style="25" customWidth="1"/>
    <col min="10" max="16384" width="9.109375" style="25"/>
  </cols>
  <sheetData>
    <row r="1" spans="1:7" ht="15.6">
      <c r="A1" s="98" t="s">
        <v>14</v>
      </c>
      <c r="B1" s="176">
        <f>Report!E7</f>
        <v>0</v>
      </c>
      <c r="C1" s="176"/>
      <c r="D1" s="176"/>
      <c r="E1" s="176"/>
      <c r="F1" s="176"/>
      <c r="G1" s="176"/>
    </row>
    <row r="2" spans="1:7" ht="18.75" customHeight="1">
      <c r="A2" s="177" t="s">
        <v>15</v>
      </c>
      <c r="B2" s="178"/>
      <c r="C2" s="178"/>
      <c r="D2" s="178"/>
      <c r="E2" s="178"/>
      <c r="F2" s="178"/>
      <c r="G2" s="178"/>
    </row>
    <row r="3" spans="1:7" ht="64.5" customHeight="1">
      <c r="A3" s="179" t="s">
        <v>16</v>
      </c>
      <c r="B3" s="179"/>
      <c r="C3" s="179"/>
      <c r="D3" s="179"/>
      <c r="E3" s="179"/>
      <c r="F3" s="179"/>
      <c r="G3" s="179"/>
    </row>
    <row r="4" spans="1:7" ht="46.8">
      <c r="A4" s="99" t="s">
        <v>17</v>
      </c>
      <c r="B4" s="99" t="s">
        <v>18</v>
      </c>
      <c r="C4" s="99" t="s">
        <v>19</v>
      </c>
      <c r="D4" s="99" t="s">
        <v>20</v>
      </c>
      <c r="E4" s="99" t="s">
        <v>21</v>
      </c>
      <c r="F4" s="99" t="s">
        <v>22</v>
      </c>
      <c r="G4" s="99" t="s">
        <v>23</v>
      </c>
    </row>
    <row r="5" spans="1:7" ht="15.6">
      <c r="A5" s="100" t="s">
        <v>24</v>
      </c>
      <c r="B5" s="41" t="str">
        <f>Results!K4</f>
        <v>--</v>
      </c>
      <c r="C5" s="101" t="s">
        <v>25</v>
      </c>
      <c r="D5" s="101"/>
      <c r="E5" s="101"/>
      <c r="F5" s="101" t="s">
        <v>25</v>
      </c>
      <c r="G5" s="101"/>
    </row>
    <row r="6" spans="1:7" ht="15.6">
      <c r="A6" s="100" t="s">
        <v>26</v>
      </c>
      <c r="B6" s="41" t="str">
        <f>Results!L4</f>
        <v>--</v>
      </c>
      <c r="C6" s="101"/>
      <c r="D6" s="101" t="s">
        <v>25</v>
      </c>
      <c r="E6" s="101" t="s">
        <v>25</v>
      </c>
      <c r="F6" s="101" t="s">
        <v>25</v>
      </c>
      <c r="G6" s="101"/>
    </row>
    <row r="7" spans="1:7" ht="15.6">
      <c r="A7" s="100" t="s">
        <v>27</v>
      </c>
      <c r="B7" s="41" t="str">
        <f>Results!M4</f>
        <v>--</v>
      </c>
      <c r="C7" s="101" t="s">
        <v>25</v>
      </c>
      <c r="D7" s="101" t="s">
        <v>25</v>
      </c>
      <c r="E7" s="101"/>
      <c r="F7" s="101" t="s">
        <v>25</v>
      </c>
      <c r="G7" s="101"/>
    </row>
    <row r="8" spans="1:7" ht="15.6">
      <c r="A8" s="100" t="s">
        <v>28</v>
      </c>
      <c r="B8" s="41" t="str">
        <f>Results!N4</f>
        <v>--</v>
      </c>
      <c r="C8" s="101" t="s">
        <v>25</v>
      </c>
      <c r="D8" s="101"/>
      <c r="E8" s="101"/>
      <c r="F8" s="101" t="s">
        <v>25</v>
      </c>
      <c r="G8" s="101"/>
    </row>
    <row r="9" spans="1:7" ht="15.6">
      <c r="A9" s="100" t="s">
        <v>29</v>
      </c>
      <c r="B9" s="41" t="str">
        <f>Results!O4</f>
        <v>--</v>
      </c>
      <c r="C9" s="101"/>
      <c r="D9" s="101"/>
      <c r="E9" s="101"/>
      <c r="F9" s="101"/>
      <c r="G9" s="101" t="s">
        <v>25</v>
      </c>
    </row>
    <row r="10" spans="1:7" ht="16.5" customHeight="1">
      <c r="A10" s="100" t="s">
        <v>30</v>
      </c>
      <c r="B10" s="41" t="str">
        <f>Results!P4</f>
        <v>--</v>
      </c>
      <c r="C10" s="101" t="s">
        <v>25</v>
      </c>
      <c r="D10" s="101"/>
      <c r="E10" s="101"/>
      <c r="F10" s="101"/>
      <c r="G10" s="101"/>
    </row>
    <row r="11" spans="1:7" ht="15.6">
      <c r="A11" s="100" t="s">
        <v>31</v>
      </c>
      <c r="B11" s="41" t="str">
        <f>Results!Q4</f>
        <v>--</v>
      </c>
      <c r="C11" s="101"/>
      <c r="D11" s="101" t="s">
        <v>25</v>
      </c>
      <c r="E11" s="101"/>
      <c r="F11" s="101"/>
      <c r="G11" s="101"/>
    </row>
    <row r="12" spans="1:7" ht="15.6">
      <c r="A12" s="100" t="s">
        <v>32</v>
      </c>
      <c r="B12" s="41" t="str">
        <f>Results!R4</f>
        <v>--</v>
      </c>
      <c r="C12" s="101" t="s">
        <v>25</v>
      </c>
      <c r="D12" s="101" t="s">
        <v>25</v>
      </c>
      <c r="E12" s="101"/>
      <c r="F12" s="101"/>
      <c r="G12" s="101"/>
    </row>
    <row r="13" spans="1:7" ht="15.6">
      <c r="A13" s="100" t="s">
        <v>33</v>
      </c>
      <c r="B13" s="41" t="str">
        <f>Results!S4</f>
        <v>--</v>
      </c>
      <c r="C13" s="101" t="s">
        <v>25</v>
      </c>
      <c r="D13" s="101" t="s">
        <v>25</v>
      </c>
      <c r="E13" s="101"/>
      <c r="F13" s="101"/>
      <c r="G13" s="101" t="s">
        <v>25</v>
      </c>
    </row>
    <row r="14" spans="1:7" ht="15.6">
      <c r="A14" s="100" t="s">
        <v>34</v>
      </c>
      <c r="B14" s="41" t="str">
        <f>Results!T4</f>
        <v>--</v>
      </c>
      <c r="C14" s="101"/>
      <c r="D14" s="101" t="s">
        <v>25</v>
      </c>
      <c r="E14" s="101"/>
      <c r="F14" s="101"/>
      <c r="G14" s="101" t="s">
        <v>25</v>
      </c>
    </row>
    <row r="15" spans="1:7" ht="15.6">
      <c r="A15" s="100" t="s">
        <v>84</v>
      </c>
      <c r="B15" s="41" t="str">
        <f>Results!U4</f>
        <v>--</v>
      </c>
      <c r="C15" s="101"/>
      <c r="D15" s="101"/>
      <c r="E15" s="101"/>
      <c r="F15" s="101"/>
      <c r="G15" s="101" t="s">
        <v>25</v>
      </c>
    </row>
    <row r="16" spans="1:7" ht="15.6">
      <c r="A16" s="100" t="s">
        <v>35</v>
      </c>
      <c r="B16" s="41" t="str">
        <f>Results!V4</f>
        <v>--</v>
      </c>
      <c r="C16" s="101" t="s">
        <v>25</v>
      </c>
      <c r="D16" s="101"/>
      <c r="E16" s="101"/>
      <c r="F16" s="101"/>
      <c r="G16" s="101"/>
    </row>
    <row r="17" spans="1:7" ht="13.2">
      <c r="A17" s="180"/>
      <c r="B17" s="180"/>
      <c r="C17" s="180"/>
      <c r="D17" s="180"/>
      <c r="E17" s="180"/>
      <c r="F17" s="180"/>
      <c r="G17" s="180"/>
    </row>
    <row r="18" spans="1:7" ht="15.6">
      <c r="A18" s="100" t="s">
        <v>36</v>
      </c>
      <c r="B18" s="102"/>
      <c r="C18" s="42" t="str">
        <f>IF(OR(B5="nc",,B7="nc",B8="nc",B10="nc",B12="nc",B13="nc",B16="nc"),"X","")</f>
        <v/>
      </c>
      <c r="D18" s="42" t="str">
        <f>IF(OR(B6="nc",B7="nc",B11="nc",B12="nc",B13="nc",B14="nc"),"X","")</f>
        <v/>
      </c>
      <c r="E18" s="42" t="str">
        <f>IF(B6="nc","X","")</f>
        <v/>
      </c>
      <c r="F18" s="42" t="str">
        <f>IF(OR(B5="nc",B6="nc",B7="nc",B8="nc"),"X","")</f>
        <v/>
      </c>
      <c r="G18" s="42" t="str">
        <f>IF(OR(B9="nc",B15="nc",B14="nc",B13="nc"),"X","")</f>
        <v/>
      </c>
    </row>
    <row r="19" spans="1:7">
      <c r="A19" s="26"/>
      <c r="B19" s="26"/>
      <c r="C19" s="26"/>
      <c r="D19" s="26"/>
      <c r="E19" s="26"/>
      <c r="F19" s="26"/>
      <c r="G19" s="26"/>
    </row>
    <row r="20" spans="1:7" ht="46.8">
      <c r="A20" s="99" t="s">
        <v>37</v>
      </c>
      <c r="B20" s="99" t="s">
        <v>18</v>
      </c>
      <c r="C20" s="99" t="s">
        <v>19</v>
      </c>
      <c r="D20" s="99" t="s">
        <v>20</v>
      </c>
      <c r="E20" s="99" t="s">
        <v>21</v>
      </c>
      <c r="F20" s="99" t="s">
        <v>22</v>
      </c>
      <c r="G20" s="99" t="s">
        <v>23</v>
      </c>
    </row>
    <row r="21" spans="1:7" ht="15.6">
      <c r="A21" s="100" t="s">
        <v>38</v>
      </c>
      <c r="B21" s="43" t="str">
        <f>Results!W4</f>
        <v>--</v>
      </c>
      <c r="C21" s="101" t="s">
        <v>25</v>
      </c>
      <c r="D21" s="101"/>
      <c r="E21" s="101"/>
      <c r="F21" s="101"/>
      <c r="G21" s="101"/>
    </row>
    <row r="22" spans="1:7" ht="15.6">
      <c r="A22" s="100" t="s">
        <v>39</v>
      </c>
      <c r="B22" s="43" t="str">
        <f>Results!X4</f>
        <v>--</v>
      </c>
      <c r="C22" s="101"/>
      <c r="D22" s="101"/>
      <c r="E22" s="101" t="s">
        <v>25</v>
      </c>
      <c r="F22" s="101"/>
      <c r="G22" s="101"/>
    </row>
    <row r="23" spans="1:7" ht="15.6">
      <c r="A23" s="100" t="s">
        <v>40</v>
      </c>
      <c r="B23" s="43" t="str">
        <f>Results!Y4</f>
        <v>--</v>
      </c>
      <c r="C23" s="101" t="s">
        <v>25</v>
      </c>
      <c r="D23" s="101" t="s">
        <v>25</v>
      </c>
      <c r="E23" s="101"/>
      <c r="F23" s="101"/>
      <c r="G23" s="101"/>
    </row>
    <row r="24" spans="1:7" ht="15.6">
      <c r="A24" s="100" t="s">
        <v>41</v>
      </c>
      <c r="B24" s="43" t="str">
        <f>Results!Z4</f>
        <v>--</v>
      </c>
      <c r="C24" s="101" t="s">
        <v>25</v>
      </c>
      <c r="D24" s="101" t="s">
        <v>25</v>
      </c>
      <c r="E24" s="101"/>
      <c r="F24" s="101"/>
      <c r="G24" s="101" t="s">
        <v>25</v>
      </c>
    </row>
    <row r="25" spans="1:7" ht="15.6">
      <c r="A25" s="100" t="s">
        <v>42</v>
      </c>
      <c r="B25" s="43" t="str">
        <f>Results!AA4</f>
        <v>--</v>
      </c>
      <c r="C25" s="101" t="s">
        <v>25</v>
      </c>
      <c r="D25" s="101" t="s">
        <v>25</v>
      </c>
      <c r="E25" s="101"/>
      <c r="F25" s="101"/>
      <c r="G25" s="101" t="s">
        <v>25</v>
      </c>
    </row>
    <row r="26" spans="1:7" ht="15.6">
      <c r="A26" s="100" t="s">
        <v>43</v>
      </c>
      <c r="B26" s="43" t="str">
        <f>Results!AC4</f>
        <v>--</v>
      </c>
      <c r="C26" s="101" t="s">
        <v>25</v>
      </c>
      <c r="D26" s="101"/>
      <c r="E26" s="101"/>
      <c r="F26" s="101" t="s">
        <v>25</v>
      </c>
      <c r="G26" s="101"/>
    </row>
    <row r="27" spans="1:7" ht="18" customHeight="1">
      <c r="A27" s="100" t="s">
        <v>44</v>
      </c>
      <c r="B27" s="43" t="str">
        <f>Results!AD4</f>
        <v>--</v>
      </c>
      <c r="C27" s="101" t="s">
        <v>25</v>
      </c>
      <c r="D27" s="101"/>
      <c r="E27" s="101"/>
      <c r="F27" s="101"/>
      <c r="G27" s="101"/>
    </row>
    <row r="28" spans="1:7" ht="30">
      <c r="A28" s="100" t="s">
        <v>45</v>
      </c>
      <c r="B28" s="43" t="str">
        <f>Results!AE4</f>
        <v>--</v>
      </c>
      <c r="C28" s="101" t="s">
        <v>25</v>
      </c>
      <c r="D28" s="101"/>
      <c r="E28" s="101"/>
      <c r="F28" s="101"/>
      <c r="G28" s="101"/>
    </row>
    <row r="29" spans="1:7" ht="15.6">
      <c r="A29" s="100" t="s">
        <v>46</v>
      </c>
      <c r="B29" s="43" t="str">
        <f>Results!AF4</f>
        <v>--</v>
      </c>
      <c r="C29" s="101" t="s">
        <v>25</v>
      </c>
      <c r="D29" s="101"/>
      <c r="E29" s="101"/>
      <c r="F29" s="101"/>
      <c r="G29" s="101"/>
    </row>
    <row r="30" spans="1:7" ht="15.6">
      <c r="A30" s="100" t="s">
        <v>47</v>
      </c>
      <c r="B30" s="43" t="str">
        <f>Results!AG4</f>
        <v>--</v>
      </c>
      <c r="C30" s="101"/>
      <c r="D30" s="101"/>
      <c r="E30" s="101"/>
      <c r="F30" s="101"/>
      <c r="G30" s="101" t="s">
        <v>25</v>
      </c>
    </row>
    <row r="31" spans="1:7" ht="15.6">
      <c r="A31" s="100" t="s">
        <v>48</v>
      </c>
      <c r="B31" s="43" t="str">
        <f>Results!AH4</f>
        <v>--</v>
      </c>
      <c r="C31" s="101" t="s">
        <v>25</v>
      </c>
      <c r="D31" s="101" t="s">
        <v>25</v>
      </c>
      <c r="E31" s="101" t="s">
        <v>25</v>
      </c>
      <c r="F31" s="101" t="s">
        <v>25</v>
      </c>
      <c r="G31" s="101"/>
    </row>
    <row r="32" spans="1:7" ht="15.6">
      <c r="A32" s="100" t="s">
        <v>49</v>
      </c>
      <c r="B32" s="43" t="str">
        <f>Results!AI4</f>
        <v>--</v>
      </c>
      <c r="C32" s="101" t="s">
        <v>25</v>
      </c>
      <c r="D32" s="101"/>
      <c r="E32" s="101"/>
      <c r="F32" s="101"/>
      <c r="G32" s="101"/>
    </row>
    <row r="33" spans="1:7" ht="15.6">
      <c r="A33" s="100" t="s">
        <v>50</v>
      </c>
      <c r="B33" s="43" t="str">
        <f>Results!AJ4</f>
        <v>--</v>
      </c>
      <c r="C33" s="101" t="s">
        <v>25</v>
      </c>
      <c r="D33" s="101"/>
      <c r="E33" s="101"/>
      <c r="F33" s="101"/>
      <c r="G33" s="101"/>
    </row>
    <row r="34" spans="1:7" ht="15.6">
      <c r="A34" s="100" t="s">
        <v>51</v>
      </c>
      <c r="B34" s="43" t="str">
        <f>Results!AK4</f>
        <v>--</v>
      </c>
      <c r="C34" s="101" t="s">
        <v>25</v>
      </c>
      <c r="D34" s="101"/>
      <c r="E34" s="101"/>
      <c r="F34" s="101"/>
      <c r="G34" s="101"/>
    </row>
    <row r="35" spans="1:7" ht="15.6">
      <c r="A35" s="100" t="s">
        <v>52</v>
      </c>
      <c r="B35" s="43" t="str">
        <f>Results!AL4</f>
        <v>--</v>
      </c>
      <c r="C35" s="101" t="s">
        <v>25</v>
      </c>
      <c r="D35" s="101" t="s">
        <v>25</v>
      </c>
      <c r="E35" s="101"/>
      <c r="F35" s="101" t="s">
        <v>25</v>
      </c>
      <c r="G35" s="101"/>
    </row>
    <row r="36" spans="1:7" ht="15.6">
      <c r="A36" s="100" t="s">
        <v>53</v>
      </c>
      <c r="B36" s="44" t="str">
        <f>Results!AM4</f>
        <v>--</v>
      </c>
      <c r="C36" s="103" t="s">
        <v>25</v>
      </c>
      <c r="D36" s="103" t="s">
        <v>25</v>
      </c>
      <c r="E36" s="103"/>
      <c r="F36" s="103" t="s">
        <v>25</v>
      </c>
      <c r="G36" s="101" t="s">
        <v>25</v>
      </c>
    </row>
    <row r="37" spans="1:7" ht="13.2">
      <c r="A37" s="104"/>
      <c r="B37" s="104"/>
      <c r="C37" s="105"/>
      <c r="D37" s="105"/>
      <c r="E37" s="105"/>
      <c r="F37" s="106"/>
      <c r="G37" s="106"/>
    </row>
    <row r="38" spans="1:7" ht="15.6">
      <c r="A38" s="100" t="s">
        <v>54</v>
      </c>
      <c r="B38" s="107"/>
      <c r="C38" s="45" t="str">
        <f>IF(OR(B21="nc",B23="nc",B24="nc",B25="nc",B26="nc",B27="nc",B28="nc",B29="nc",B31="nc",B32="nc",B32="nc",B33="nc",B34="nc",B35="nc",B36="nc"),"X","")</f>
        <v/>
      </c>
      <c r="D38" s="45" t="str">
        <f>IF(OR(B23="nc",B24="nc",B25="nc",B31="nc",B35="nc",B36="nc"),"X","")</f>
        <v/>
      </c>
      <c r="E38" s="45" t="str">
        <f>IF(OR(B22="nc",B31="nc"),"X","")</f>
        <v/>
      </c>
      <c r="F38" s="45" t="str">
        <f>IF(OR(B26="nc",B31="nc",B35="nc",B36="nc"),"X","")</f>
        <v/>
      </c>
      <c r="G38" s="42" t="str">
        <f>IF(OR(B25="nc",B30="nc",B36="nc",B24="nc"),"X","")</f>
        <v/>
      </c>
    </row>
    <row r="39" spans="1:7" ht="15.6">
      <c r="A39" s="108"/>
      <c r="B39" s="109"/>
      <c r="C39" s="108"/>
      <c r="D39" s="108"/>
      <c r="E39" s="108"/>
      <c r="F39" s="108"/>
      <c r="G39" s="108"/>
    </row>
    <row r="40" spans="1:7" ht="46.8">
      <c r="A40" s="99" t="s">
        <v>55</v>
      </c>
      <c r="B40" s="99" t="s">
        <v>18</v>
      </c>
      <c r="C40" s="99" t="s">
        <v>19</v>
      </c>
      <c r="D40" s="99" t="s">
        <v>20</v>
      </c>
      <c r="E40" s="99" t="s">
        <v>21</v>
      </c>
      <c r="F40" s="99" t="s">
        <v>22</v>
      </c>
      <c r="G40" s="99" t="s">
        <v>23</v>
      </c>
    </row>
    <row r="41" spans="1:7" ht="15.6">
      <c r="A41" s="100" t="s">
        <v>56</v>
      </c>
      <c r="B41" s="43" t="str">
        <f>Results!X4</f>
        <v>--</v>
      </c>
      <c r="C41" s="101"/>
      <c r="D41" s="101"/>
      <c r="E41" s="101" t="s">
        <v>25</v>
      </c>
      <c r="F41" s="101"/>
      <c r="G41" s="101"/>
    </row>
    <row r="42" spans="1:7" ht="15.6">
      <c r="A42" s="100" t="s">
        <v>57</v>
      </c>
      <c r="B42" s="43" t="str">
        <f>Results!Y4</f>
        <v>--</v>
      </c>
      <c r="C42" s="101" t="s">
        <v>25</v>
      </c>
      <c r="D42" s="101" t="s">
        <v>25</v>
      </c>
      <c r="E42" s="101"/>
      <c r="F42" s="101"/>
      <c r="G42" s="101"/>
    </row>
    <row r="43" spans="1:7" ht="15.6">
      <c r="A43" s="108"/>
      <c r="B43" s="109"/>
      <c r="C43" s="108"/>
      <c r="D43" s="108"/>
      <c r="E43" s="108"/>
      <c r="F43" s="108"/>
      <c r="G43" s="108"/>
    </row>
    <row r="44" spans="1:7" ht="46.8">
      <c r="A44" s="99" t="s">
        <v>58</v>
      </c>
      <c r="B44" s="99" t="s">
        <v>18</v>
      </c>
      <c r="C44" s="99" t="s">
        <v>19</v>
      </c>
      <c r="D44" s="99" t="s">
        <v>20</v>
      </c>
      <c r="E44" s="99" t="s">
        <v>21</v>
      </c>
      <c r="F44" s="99" t="s">
        <v>22</v>
      </c>
      <c r="G44" s="99" t="s">
        <v>23</v>
      </c>
    </row>
    <row r="45" spans="1:7" ht="15.6">
      <c r="A45" s="100" t="s">
        <v>59</v>
      </c>
      <c r="B45" s="48" t="str">
        <f>Results!AP4</f>
        <v>--</v>
      </c>
      <c r="C45" s="101" t="s">
        <v>25</v>
      </c>
      <c r="D45" s="101"/>
      <c r="E45" s="101"/>
      <c r="F45" s="101"/>
      <c r="G45" s="101"/>
    </row>
    <row r="46" spans="1:7" ht="15.6">
      <c r="A46" s="100" t="s">
        <v>60</v>
      </c>
      <c r="B46" s="48" t="str">
        <f>Results!AQ4</f>
        <v>--</v>
      </c>
      <c r="C46" s="101"/>
      <c r="D46" s="101" t="s">
        <v>25</v>
      </c>
      <c r="E46" s="101"/>
      <c r="F46" s="101"/>
      <c r="G46" s="101"/>
    </row>
    <row r="47" spans="1:7" ht="15.6">
      <c r="A47" s="100" t="s">
        <v>61</v>
      </c>
      <c r="B47" s="48" t="str">
        <f>Results!AR4</f>
        <v>--</v>
      </c>
      <c r="C47" s="101"/>
      <c r="D47" s="101"/>
      <c r="E47" s="101" t="s">
        <v>25</v>
      </c>
      <c r="F47" s="101"/>
      <c r="G47" s="101"/>
    </row>
    <row r="48" spans="1:7" ht="15.6">
      <c r="A48" s="100" t="s">
        <v>62</v>
      </c>
      <c r="B48" s="48" t="str">
        <f>Results!AS4</f>
        <v>--</v>
      </c>
      <c r="C48" s="101"/>
      <c r="D48" s="101"/>
      <c r="E48" s="101"/>
      <c r="F48" s="101" t="s">
        <v>25</v>
      </c>
      <c r="G48" s="101"/>
    </row>
    <row r="49" spans="1:7">
      <c r="A49" s="26"/>
      <c r="B49" s="26"/>
      <c r="C49" s="26"/>
      <c r="D49" s="26"/>
      <c r="E49" s="26"/>
      <c r="F49" s="26"/>
      <c r="G49" s="26"/>
    </row>
    <row r="50" spans="1:7" ht="31.2">
      <c r="A50" s="110" t="s">
        <v>63</v>
      </c>
      <c r="B50" s="27" t="str">
        <f>IF(AND(B18="none",B38="none"),"NONE","")</f>
        <v/>
      </c>
      <c r="C50" s="46" t="str">
        <f>IF(OR(B42="nc",C18="X",C38="X",B45="nc"),"X","")</f>
        <v/>
      </c>
      <c r="D50" s="46" t="str">
        <f>IF(OR(D18="X",D38="X",B42="nc",B46="nc"),"X","")</f>
        <v/>
      </c>
      <c r="E50" s="46" t="str">
        <f>IF(OR(E18="X",E38="X",B41="nc",B47="nc"),"X","")</f>
        <v/>
      </c>
      <c r="F50" s="46" t="str">
        <f>IF(OR(F18="X",F38="X",B48="nc"),"X","")</f>
        <v/>
      </c>
      <c r="G50" s="47" t="str">
        <f>IF(OR(G18="X",G38="X"),"X","")</f>
        <v/>
      </c>
    </row>
    <row r="51" spans="1:7">
      <c r="A51" s="111"/>
      <c r="B51" s="112"/>
      <c r="C51" s="112"/>
      <c r="D51" s="112"/>
      <c r="E51" s="112"/>
      <c r="F51" s="112"/>
      <c r="G51" s="113"/>
    </row>
    <row r="52" spans="1:7" ht="16.5" customHeight="1">
      <c r="A52" s="181" t="s">
        <v>64</v>
      </c>
      <c r="B52" s="182"/>
      <c r="C52" s="182"/>
      <c r="D52" s="182"/>
      <c r="E52" s="182"/>
      <c r="F52" s="182"/>
      <c r="G52" s="183"/>
    </row>
    <row r="53" spans="1:7" ht="33" customHeight="1">
      <c r="A53" s="102" t="s">
        <v>65</v>
      </c>
      <c r="B53" s="50">
        <f>COUNTIF(C50:G50,"X")</f>
        <v>0</v>
      </c>
      <c r="C53" s="173" t="str">
        <f>IF(B53&gt;0,LEFT(C57,LEN(C57)-2),"None")</f>
        <v>None</v>
      </c>
      <c r="D53" s="173"/>
      <c r="E53" s="173"/>
      <c r="F53" s="173"/>
      <c r="G53" s="173"/>
    </row>
    <row r="54" spans="1:7" ht="13.2">
      <c r="A54" s="174" t="s">
        <v>66</v>
      </c>
      <c r="B54" s="175"/>
      <c r="C54" s="175"/>
      <c r="D54" s="175"/>
      <c r="E54" s="175"/>
      <c r="F54" s="175"/>
      <c r="G54" s="175"/>
    </row>
    <row r="55" spans="1:7">
      <c r="A55" s="26"/>
      <c r="B55" s="26"/>
      <c r="C55" s="26"/>
      <c r="D55" s="26"/>
      <c r="E55" s="26"/>
      <c r="F55" s="26"/>
      <c r="G55" s="26"/>
    </row>
    <row r="56" spans="1:7" hidden="1">
      <c r="A56" s="26"/>
      <c r="B56" s="26"/>
      <c r="C56" s="26" t="str">
        <f>IF(C50="X","Blind, ","")</f>
        <v/>
      </c>
      <c r="D56" s="26" t="str">
        <f>IF(D50="X","Low Vision, ","")</f>
        <v/>
      </c>
      <c r="E56" s="26" t="str">
        <f>IF(E50="X","Deaf/Hard of Hearing, ","")</f>
        <v/>
      </c>
      <c r="F56" s="26" t="str">
        <f>IF(F50="X","Mobility, ","")</f>
        <v/>
      </c>
      <c r="G56" s="26" t="str">
        <f>IF(G50="X","Other, ","")</f>
        <v/>
      </c>
    </row>
    <row r="57" spans="1:7" ht="15.6" hidden="1">
      <c r="A57" s="26"/>
      <c r="B57" s="26"/>
      <c r="C57" s="173" t="str">
        <f>IF(B53&gt;0,CONCATENATE(C56,D56,E56,F56,G56),"None")</f>
        <v>None</v>
      </c>
      <c r="D57" s="173"/>
      <c r="E57" s="173"/>
      <c r="F57" s="173"/>
      <c r="G57" s="173"/>
    </row>
    <row r="58" spans="1:7">
      <c r="A58" s="26"/>
      <c r="B58" s="26"/>
      <c r="C58" s="26"/>
      <c r="D58" s="26"/>
      <c r="E58" s="26"/>
      <c r="F58" s="26"/>
      <c r="G58" s="26"/>
    </row>
    <row r="59" spans="1:7">
      <c r="A59" s="26"/>
      <c r="B59" s="26"/>
      <c r="C59" s="26"/>
      <c r="D59" s="26"/>
      <c r="E59" s="26"/>
      <c r="F59" s="26"/>
      <c r="G59" s="26"/>
    </row>
  </sheetData>
  <sheetProtection sheet="1" objects="1" scenarios="1"/>
  <mergeCells count="8">
    <mergeCell ref="C57:G57"/>
    <mergeCell ref="A54:G54"/>
    <mergeCell ref="B1:G1"/>
    <mergeCell ref="A2:G2"/>
    <mergeCell ref="A3:G3"/>
    <mergeCell ref="A17:G17"/>
    <mergeCell ref="A52:G52"/>
    <mergeCell ref="C53:G53"/>
  </mergeCells>
  <dataValidations count="52">
    <dataValidation allowBlank="1" showInputMessage="1" showErrorMessage="1" promptTitle="Multimedia d. Audio Descriptions" prompt="NC affects Blind and Low Vision" sqref="B42"/>
    <dataValidation allowBlank="1" showInputMessage="1" showErrorMessage="1" promptTitle="Multimedia c. Captions" prompt="NC affects deaf/hard of hearing" sqref="B41"/>
    <dataValidation allowBlank="1" showInputMessage="1" promptTitle="Enter" prompt="Application Name" sqref="B1:G1"/>
    <dataValidation allowBlank="1" showInputMessage="1" promptTitle="SW b. OS accessibility settings" prompt="NC affects low vision, deaf/hard of hearing, mobility" sqref="B6"/>
    <dataValidation allowBlank="1" showInputMessage="1" promptTitle="SW a. keyboard access result" prompt="NC affects Blind and Mobility" sqref="B5"/>
    <dataValidation allowBlank="1" showInputMessage="1" showErrorMessage="1" promptTitle="Web d. Style sheet dependence" prompt="NC affects Blind, Low vision, and Other (cognitive)" sqref="B25"/>
    <dataValidation allowBlank="1" showInputMessage="1" showErrorMessage="1" promptTitle="Web c. Color dependence result" prompt="NC affects Blind, Low vision and Other (color blind)" sqref="B24"/>
    <dataValidation allowBlank="1" showInputMessage="1" showErrorMessage="1" promptTitle="Web b2. Audio description" prompt="NC affects Blind and Low vision" sqref="B23"/>
    <dataValidation allowBlank="1" showInputMessage="1" showErrorMessage="1" promptTitle="SW Failure impacts Other" prompt="if X marked" sqref="G18"/>
    <dataValidation allowBlank="1" showInputMessage="1" showErrorMessage="1" promptTitle="SW Failure impacts Mobility" prompt="if X marked" sqref="F18"/>
    <dataValidation allowBlank="1" showInputMessage="1" showErrorMessage="1" promptTitle="SW Failure impacts Deaf/HH" prompt="if X marked" sqref="E18"/>
    <dataValidation allowBlank="1" showInputMessage="1" showErrorMessage="1" promptTitle="SW Failure impacts Low Vision" prompt="if X marked" sqref="D18"/>
    <dataValidation allowBlank="1" showInputMessage="1" showErrorMessage="1" promptTitle="Software Failure impacts Blind" prompt="if X marked" sqref="C18"/>
    <dataValidation allowBlank="1" showInputMessage="1" showErrorMessage="1" promptTitle="SW l. Label form fields result" prompt="NC affects Blind" sqref="B16"/>
    <dataValidation allowBlank="1" showInputMessage="1" showErrorMessage="1" promptTitle="SW k. Flashing elements result" prompt="NC affects Other (photosensitive seizure)" sqref="B15"/>
    <dataValidation allowBlank="1" showInputMessage="1" showErrorMessage="1" promptTitle="SW j. Color selection variety" prompt="NC affects Low vision and Other (color blind)" sqref="B14"/>
    <dataValidation allowBlank="1" showInputMessage="1" showErrorMessage="1" promptTitle="SW i. Color dependency result" prompt="NC affects Blind, Low vision, and Other (color blind)" sqref="B13"/>
    <dataValidation allowBlank="1" showInputMessage="1" promptTitle="SW h. Animation alternative" prompt="NC affects Blind and Low vision" sqref="B12"/>
    <dataValidation allowBlank="1" showInputMessage="1" showErrorMessage="1" promptTitle="SW g. User color settings result" prompt="NC affects Low vision" sqref="B11"/>
    <dataValidation allowBlank="1" showInputMessage="1" promptTitle="SW f. Text info result" prompt="NC affects Blind" sqref="B10"/>
    <dataValidation allowBlank="1" showInputMessage="1" showErrorMessage="1" promptTitle="SW e. Bit map consistency result" prompt="NC affects Other (cognitive)" sqref="B9"/>
    <dataValidation allowBlank="1" showInputMessage="1" promptTitle="SW d. Interface elements result" prompt="NC affects Blind and Mobility" sqref="B8"/>
    <dataValidation allowBlank="1" showInputMessage="1" showErrorMessage="1" promptTitle="SW c. On screen focus result" prompt="NC affects Blind, Low vision, and Mobility" sqref="B7"/>
    <dataValidation allowBlank="1" showInputMessage="1" showErrorMessage="1" promptTitle="Disabilities impacted" prompt="Based on non-compliant Section 508 test results" sqref="C53:G53 C57:G57"/>
    <dataValidation allowBlank="1" showInputMessage="1" showErrorMessage="1" promptTitle="FPC (f) Use with physical limits" prompt="NC affects Mobility" sqref="B48"/>
    <dataValidation allowBlank="1" showInputMessage="1" showErrorMessage="1" promptTitle="FPC (c) Use without hearing" prompt="NC affects Deaf and hard of hearing" sqref="B47"/>
    <dataValidation allowBlank="1" showInputMessage="1" showErrorMessage="1" promptTitle="FPC (b) Use with low vision" prompt="NC affects Low Vision" sqref="B46"/>
    <dataValidation allowBlank="1" showInputMessage="1" showErrorMessage="1" promptTitle="FPC (a) Use without vision" prompt="NC affects blind" sqref="B45"/>
    <dataValidation allowBlank="1" showInputMessage="1" showErrorMessage="1" promptTitle="Number of Disabilities Impacted" prompt="by 508 failures" sqref="B53"/>
    <dataValidation allowBlank="1" showInputMessage="1" showErrorMessage="1" promptTitle="508 Failures impact Other" prompt="if X marked" sqref="G50"/>
    <dataValidation allowBlank="1" showInputMessage="1" showErrorMessage="1" promptTitle="508 Failures impact Mobility" prompt="if X marked" sqref="F50"/>
    <dataValidation allowBlank="1" showInputMessage="1" showErrorMessage="1" promptTitle="508 Failures impact Deaf/HH" prompt="if X marked" sqref="E50"/>
    <dataValidation allowBlank="1" showInputMessage="1" showErrorMessage="1" promptTitle="508 Failures impact Low Vision" prompt="if X marked" sqref="D50"/>
    <dataValidation allowBlank="1" showInputMessage="1" showErrorMessage="1" promptTitle="508 Failures impact Blind" prompt="if X marked" sqref="C50"/>
    <dataValidation allowBlank="1" showInputMessage="1" showErrorMessage="1" promptTitle="Web Failure impacts Other" prompt="if X marked" sqref="G38:G39 G43"/>
    <dataValidation allowBlank="1" showInputMessage="1" showErrorMessage="1" promptTitle="Web Failure impacts Mobility" prompt="if X marked" sqref="F38:F39 F43"/>
    <dataValidation allowBlank="1" showInputMessage="1" showErrorMessage="1" promptTitle="Web Failure impacts Deaf/HH" prompt="if X marked" sqref="E38:E39 E43"/>
    <dataValidation allowBlank="1" showInputMessage="1" showErrorMessage="1" promptTitle="Web Failure impacts Low Vision" prompt="if X marked" sqref="D38:D39 D43"/>
    <dataValidation allowBlank="1" showInputMessage="1" showErrorMessage="1" promptTitle="Web Failure impacts Blind" prompt="if X marked" sqref="C38:C39 C43"/>
    <dataValidation allowBlank="1" showInputMessage="1" showErrorMessage="1" promptTitle="Web p. Timed response result" prompt="NC affects Blind, Low vision, Mobility, and Other (cognitive)" sqref="B36"/>
    <dataValidation allowBlank="1" showInputMessage="1" showErrorMessage="1" promptTitle="Web o. Skip repetitive links" prompt="NC affects Blind, Low vision, and Mobility" sqref="B35"/>
    <dataValidation allowBlank="1" showInputMessage="1" showErrorMessage="1" promptTitle="Web n. Label form fields" prompt="NC affects Blind" sqref="B34"/>
    <dataValidation allowBlank="1" showInputMessage="1" showErrorMessage="1" promptTitle="Web m. Plugin links results" prompt="NC affects Blind" sqref="B33"/>
    <dataValidation allowBlank="1" showInputMessage="1" showErrorMessage="1" promptTitle="Web l. Script functional text" prompt="NC affects Blind" sqref="B32"/>
    <dataValidation allowBlank="1" showInputMessage="1" showErrorMessage="1" promptTitle="Web k. Text only page result" prompt="NC affects Blind, Low vision, Deaf/Hard of Hearing, and Mobility" sqref="B31"/>
    <dataValidation allowBlank="1" showInputMessage="1" showErrorMessage="1" promptTitle="Web j. Flashing elements" prompt="NC affects Other (photosensitive epilepsy)" sqref="B30"/>
    <dataValidation allowBlank="1" showInputMessage="1" showErrorMessage="1" promptTitle="Web i. Frame titles result" prompt="NC affects Blind" sqref="B29"/>
    <dataValidation allowBlank="1" showInputMessage="1" showErrorMessage="1" promptTitle="Web h. Complex data tables" prompt="NC affects Blind" sqref="B28"/>
    <dataValidation allowBlank="1" showInputMessage="1" showErrorMessage="1" promptTitle="Web g. Data table headers" prompt="NC affects Blind" sqref="B27"/>
    <dataValidation allowBlank="1" showInputMessage="1" showErrorMessage="1" promptTitle="Web e&amp;f. Use of server side maps" prompt="NC affects Blind and Mobility" sqref="B26"/>
    <dataValidation allowBlank="1" showInputMessage="1" showErrorMessage="1" promptTitle="Web b1. Synchronized captions" prompt="NC affects Deaf/Hard of hearing" sqref="B22"/>
    <dataValidation allowBlank="1" showInputMessage="1" showErrorMessage="1" promptTitle="Web a. Text equivalents result" prompt="NC affects Blind" sqref="B21"/>
  </dataValidations>
  <printOptions horizontalCentered="1" verticalCentered="1"/>
  <pageMargins left="0.25" right="0.25" top="0.75" bottom="0.75" header="0.3" footer="0.3"/>
  <pageSetup paperSize="5" orientation="portrait" r:id="rId1"/>
  <headerFooter alignWithMargins="0">
    <oddFooter>&amp;LOAST version 5.0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Lists</vt:lpstr>
      <vt:lpstr>Instructions</vt:lpstr>
      <vt:lpstr>Results</vt:lpstr>
      <vt:lpstr>Report</vt:lpstr>
      <vt:lpstr>508 Impact Guide &amp; Score Sheet</vt:lpstr>
      <vt:lpstr>firstreportrow</vt:lpstr>
      <vt:lpstr>header</vt:lpstr>
      <vt:lpstr>JavaFlashResponses</vt:lpstr>
      <vt:lpstr>NoJavaFlashResponses</vt:lpstr>
      <vt:lpstr>NoResponses</vt:lpstr>
      <vt:lpstr>Results!OLE_LINK32</vt:lpstr>
      <vt:lpstr>Results!OLE_LINK39</vt:lpstr>
      <vt:lpstr>Report!Print_Area</vt:lpstr>
      <vt:lpstr>Results!Print_Area</vt:lpstr>
      <vt:lpstr>reportheader</vt:lpstr>
      <vt:lpstr>resultsarea</vt:lpstr>
      <vt:lpstr>resultsrow</vt:lpstr>
      <vt:lpstr>ScreenCells</vt:lpstr>
      <vt:lpstr>Screens</vt:lpstr>
      <vt:lpstr>StdsBLs</vt:lpstr>
      <vt:lpstr>TT_Version</vt:lpstr>
      <vt:lpstr>TT_Versions</vt:lpstr>
      <vt:lpstr>TT3_Browsers</vt:lpstr>
      <vt:lpstr>TT3_OS</vt:lpstr>
      <vt:lpstr>TT4_Browsers</vt:lpstr>
      <vt:lpstr>TT4_OS</vt:lpstr>
    </vt:vector>
  </TitlesOfParts>
  <Company>Department of Homeland Security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Soon, Cliff A (CTR)</dc:creator>
  <dc:description>Added SW-Only, Web-Only, Clear All
Restricted some cells to P/F only</dc:description>
  <cp:lastModifiedBy>amcdavis</cp:lastModifiedBy>
  <cp:lastPrinted>2013-08-21T21:39:54Z</cp:lastPrinted>
  <dcterms:created xsi:type="dcterms:W3CDTF">2013-02-14T08:06:38Z</dcterms:created>
  <dcterms:modified xsi:type="dcterms:W3CDTF">2019-09-24T21:26:31Z</dcterms:modified>
</cp:coreProperties>
</file>